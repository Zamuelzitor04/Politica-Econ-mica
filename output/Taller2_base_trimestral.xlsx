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Base_trimestral" sheetId="2" state="visible" r:id="rId4"/>
    <sheet name="Ficha_fuentes" sheetId="3" state="visible" r:id="rId5"/>
    <sheet name="Figuras" sheetId="4" state="visible" r:id="rId6"/>
    <sheet name="TPM_diaria" sheetId="5" state="visible" r:id="rId7"/>
    <sheet name="Mensual" sheetId="6" state="visible" r:id="rId8"/>
    <sheet name="Contro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Parámetro: IPC de junio de 2026 (DANE). Los saldos reales quedan en pesos de jun-2026. Cambiar el mes base no altera los índices 2021-I = 100.</t>
        </r>
      </text>
    </comment>
  </commentList>
</comments>
</file>

<file path=xl/sharedStrings.xml><?xml version="1.0" encoding="utf-8"?>
<sst xmlns="http://schemas.openxmlformats.org/spreadsheetml/2006/main" count="278" uniqueCount="166">
  <si>
    <t xml:space="preserve">Taller 2 – Política Económica (Univalle): crédito, consumo y morosidad en Colombia</t>
  </si>
  <si>
    <t xml:space="preserve">Base trimestral 2021-I a 2026-II construida con scripts/construir_base.py a partir de data/raw/.</t>
  </si>
  <si>
    <t xml:space="preserve">Hojas</t>
  </si>
  <si>
    <t xml:space="preserve">• Base_trimestral: la base del taller (todas las series, incluida la inflación). Fórmulas vivas.</t>
  </si>
  <si>
    <t xml:space="preserve">• Ficha_fuentes: entidad, nombre exacto, cobertura, unidad, enlace, fecha de consulta y transformaciones.</t>
  </si>
  <si>
    <t xml:space="preserve">• Figuras: las 4 figuras pedidas (título, ejes, unidad, período, fuente y nota).</t>
  </si>
  <si>
    <t xml:space="preserve">• Mensual: insumos mensuales transcritos de las fuentes; la TPM mensual se calcula desde TPM_diaria.</t>
  </si>
  <si>
    <t xml:space="preserve">• TPM_diaria: serie diaria de la TPM (BanRep) que alimenta el promedio mensual.</t>
  </si>
  <si>
    <t xml:space="preserve">• Controles: verifica que los cálculos reproducen los indicadores publicados (SFC, DANE).</t>
  </si>
  <si>
    <t xml:space="preserve">Convención de colores</t>
  </si>
  <si>
    <t xml:space="preserve">Azul = dato transcrito de la fuente · Negro = fórmula en la misma hoja · Verde = vínculo a otra hoja · Amarillo = parámetro (IPC base).</t>
  </si>
  <si>
    <t xml:space="preserve">Decisiones metodológicas (aprobadas por el grupo)</t>
  </si>
  <si>
    <t xml:space="preserve">1. TPM mensual = promedio de la serie diaria del mes; trimestral = promedio de los 3 meses.</t>
  </si>
  <si>
    <t xml:space="preserve">2. Tasa de consumo BanRep excluye tarjetas; cartera SFC las incluye → limitación documentada; se prioriza la SFC para crédito y morosidad.</t>
  </si>
  <si>
    <t xml:space="preserve">3. Consumo de los hogares: DANE, Cuadro 2 (volumen, desestacionalizado), incluye ISFLSH.</t>
  </si>
  <si>
    <t xml:space="preserve">4. IPC base fijo = jun-2026 (159.53): saldos reales en pesos de junio de 2026.</t>
  </si>
  <si>
    <t xml:space="preserve">Datos faltantes: ninguno en la ventana. No se interpoló ni se imputó ninguna observación.</t>
  </si>
  <si>
    <t xml:space="preserve">Pendientes antes de entregar: completar URL exacta y fecha de consulta en Ficha_fuentes; citar la definición de vencimiento de la SFC (Circular Básica Contable y Financiera, Cap. II).</t>
  </si>
  <si>
    <t xml:space="preserve">Base trimestral: crédito, consumo y morosidad en Colombia, 2021-I a 2026-II</t>
  </si>
  <si>
    <t xml:space="preserve">2020-IV se incluye solo para calcular la primera variación del consumo. Azul = dato transcrito de la fuente; negro = fórmula; verde = vínculo a otra hoja.</t>
  </si>
  <si>
    <t xml:space="preserve">IPC base fijo (jun-2026)</t>
  </si>
  <si>
    <t xml:space="preserve">Trimestre</t>
  </si>
  <si>
    <t xml:space="preserve">TPM</t>
  </si>
  <si>
    <t xml:space="preserve">Tasa crédito de consumo</t>
  </si>
  <si>
    <t xml:space="preserve">Diferencial consumo − TPM</t>
  </si>
  <si>
    <t xml:space="preserve">Inflación anual</t>
  </si>
  <si>
    <t xml:space="preserve">IPC</t>
  </si>
  <si>
    <t xml:space="preserve">Cartera bruta consumo, nominal (B)</t>
  </si>
  <si>
    <t xml:space="preserve">Cartera vencida consumo, nominal (V)</t>
  </si>
  <si>
    <t xml:space="preserve">Cartera bruta real</t>
  </si>
  <si>
    <t xml:space="preserve">Cartera vencida real</t>
  </si>
  <si>
    <t xml:space="preserve">Índice cartera bruta real</t>
  </si>
  <si>
    <t xml:space="preserve">Índice cartera vencida real</t>
  </si>
  <si>
    <t xml:space="preserve">Morosidad (100×V/B)</t>
  </si>
  <si>
    <t xml:space="preserve">Consumo final hogares (C)</t>
  </si>
  <si>
    <t xml:space="preserve">Índice consumo hogares</t>
  </si>
  <si>
    <t xml:space="preserve">Variación trimestral consumo</t>
  </si>
  <si>
    <t xml:space="preserve">% e.a., prom. trim.</t>
  </si>
  <si>
    <t xml:space="preserve">p.p.</t>
  </si>
  <si>
    <t xml:space="preserve">%, último mes</t>
  </si>
  <si>
    <t xml:space="preserve">dic-2018=100, último mes</t>
  </si>
  <si>
    <t xml:space="preserve">miles de millones $ corrientes</t>
  </si>
  <si>
    <t xml:space="preserve">miles de millones $ de jun-2026</t>
  </si>
  <si>
    <t xml:space="preserve">2021-I = 100</t>
  </si>
  <si>
    <t xml:space="preserve">%</t>
  </si>
  <si>
    <t xml:space="preserve">miles de millones $, volumen ref. 2015, desest.</t>
  </si>
  <si>
    <t xml:space="preserve">2020-IV</t>
  </si>
  <si>
    <t xml:space="preserve">2021-I</t>
  </si>
  <si>
    <t xml:space="preserve">2021-II</t>
  </si>
  <si>
    <t xml:space="preserve">2021-III</t>
  </si>
  <si>
    <t xml:space="preserve">2021-IV</t>
  </si>
  <si>
    <t xml:space="preserve">2022-I</t>
  </si>
  <si>
    <t xml:space="preserve">2022-II</t>
  </si>
  <si>
    <t xml:space="preserve">2022-III</t>
  </si>
  <si>
    <t xml:space="preserve">2022-IV</t>
  </si>
  <si>
    <t xml:space="preserve">2023-I</t>
  </si>
  <si>
    <t xml:space="preserve">2023-II</t>
  </si>
  <si>
    <t xml:space="preserve">2023-III</t>
  </si>
  <si>
    <t xml:space="preserve">2023-IV</t>
  </si>
  <si>
    <t xml:space="preserve">2024-I</t>
  </si>
  <si>
    <t xml:space="preserve">2024-II</t>
  </si>
  <si>
    <t xml:space="preserve">2024-III</t>
  </si>
  <si>
    <t xml:space="preserve">2024-IV</t>
  </si>
  <si>
    <t xml:space="preserve">2025-I</t>
  </si>
  <si>
    <t xml:space="preserve">2025-II</t>
  </si>
  <si>
    <t xml:space="preserve">2025-III</t>
  </si>
  <si>
    <t xml:space="preserve">2025-IV</t>
  </si>
  <si>
    <t xml:space="preserve">2026-I</t>
  </si>
  <si>
    <t xml:space="preserve">2026-II</t>
  </si>
  <si>
    <t xml:space="preserve">Notas metodológicas:</t>
  </si>
  <si>
    <t xml:space="preserve">• Tasas: TPM = promedio de la serie diaria por mes y luego de los 3 meses; tasa de consumo = promedio de las 3 tasas mensuales (créditos nuevos, no incluye tarjetas). Ambas en % efectivo anual.</t>
  </si>
  <si>
    <t xml:space="preserve">• Cartera: saldo del último mes de cada trimestre (SFC, hoja C5), establecimientos de crédito sin IOE, incluye leasing. No se suman saldos mensuales. Vencida ≠ riesgosa (calificación B-E) ≠ provisiones (deterioro).</t>
  </si>
  <si>
    <t xml:space="preserve">• Real = nominal × IPC(jun-2026) / IPC(mes del saldo). Morosidad = 100 × V / B (con saldos nominales; es igual con reales porque el deflactor se cancela).</t>
  </si>
  <si>
    <t xml:space="preserve">• Consumo: gasto de consumo final de los hogares incluidas ISFLSH, volumen, desestacionalizado; no se deflacta de nuevo. 2020-IV solo alimenta la variación de 2021-I.</t>
  </si>
  <si>
    <t xml:space="preserve">• Limitación de cobertura: la cartera SFC incluye tarjetas de crédito; la tasa de consumo BanRep no. Para crédito y morosidad se prioriza la SFC.</t>
  </si>
  <si>
    <t xml:space="preserve">• Sin datos faltantes en la ventana 2021-I a 2026-II: no hubo que dejar celdas vacías ni interpolar.</t>
  </si>
  <si>
    <t xml:space="preserve">Ficha de fuentes</t>
  </si>
  <si>
    <t xml:space="preserve">Los campos entre corchetes [ ] deben completarse con la URL exacta y la fecha en que se consultó cada fuente; no se inventan.</t>
  </si>
  <si>
    <t xml:space="preserve">Variable</t>
  </si>
  <si>
    <t xml:space="preserve">Entidad</t>
  </si>
  <si>
    <t xml:space="preserve">Nombre exacto de la serie</t>
  </si>
  <si>
    <t xml:space="preserve">Cobertura</t>
  </si>
  <si>
    <t xml:space="preserve">Unidad</t>
  </si>
  <si>
    <t xml:space="preserve">Frecuencia y período</t>
  </si>
  <si>
    <t xml:space="preserve">Archivo original (data/raw)</t>
  </si>
  <si>
    <t xml:space="preserve">Enlace</t>
  </si>
  <si>
    <t xml:space="preserve">Fecha de consulta</t>
  </si>
  <si>
    <t xml:space="preserve">Transformaciones</t>
  </si>
  <si>
    <t xml:space="preserve">Tasa de intervención (TPM)</t>
  </si>
  <si>
    <t xml:space="preserve">Banco de la República</t>
  </si>
  <si>
    <t xml:space="preserve">Tasa de política monetaria (Dato diario)</t>
  </si>
  <si>
    <t xml:space="preserve">Tasa mínima de las subastas de expansión a un día (OMA)</t>
  </si>
  <si>
    <t xml:space="preserve">% (efectivo anual)</t>
  </si>
  <si>
    <t xml:space="preserve">Diaria, 01/01/2021–30/06/2026</t>
  </si>
  <si>
    <t xml:space="preserve">Datos_Adicionales_BANREP.xlsx, hoja Datos</t>
  </si>
  <si>
    <t xml:space="preserve">https://www.banrep.gov.co/es/estadisticas  [pegar la URL exacta de la consulta]</t>
  </si>
  <si>
    <t xml:space="preserve">16-oct-2026 (pie del archivo)</t>
  </si>
  <si>
    <t xml:space="preserve">Promedio simple de los días de cada mes → promedio simple de los 3 meses del trimestre.</t>
  </si>
  <si>
    <t xml:space="preserve">Tasa del crédito de consumo</t>
  </si>
  <si>
    <t xml:space="preserve">Banco de la República con información de la SFC</t>
  </si>
  <si>
    <t xml:space="preserve">Crédito de consumo, Tasa de interés (Promedio mensual)</t>
  </si>
  <si>
    <t xml:space="preserve">Créditos de consumo desembolsados; no incluye tarjetas de crédito</t>
  </si>
  <si>
    <t xml:space="preserve">% efectivo anual</t>
  </si>
  <si>
    <t xml:space="preserve">Mensual, ene-2021–jun-2026</t>
  </si>
  <si>
    <t xml:space="preserve">Promedio simple de las 3 tasas mensuales del trimestre.</t>
  </si>
  <si>
    <t xml:space="preserve">Cartera bruta de consumo (B)</t>
  </si>
  <si>
    <t xml:space="preserve">Superintendencia Financiera de Colombia</t>
  </si>
  <si>
    <t xml:space="preserve">Evolución de la cartera de crédito por tipo de crédito — CONSUMO - BRUTA (hoja C5)</t>
  </si>
  <si>
    <t xml:space="preserve">Establecimientos de crédito, sin Instituciones Oficiales Especiales; incluye leasing</t>
  </si>
  <si>
    <t xml:space="preserve">Miles de millones de pesos corrientes (el título de C5 dice 'millones'; C5 suma exactamente C4, rotulada en miles de millones)</t>
  </si>
  <si>
    <t xml:space="preserve">Mensual, ene-2016–ago-2026; se usan mar/jun/sep/dic 2021-2026</t>
  </si>
  <si>
    <t xml:space="preserve">Cartera_hasta_agosto_Superfinanciera.xlsx, hoja C5</t>
  </si>
  <si>
    <t xml:space="preserve">https://www.superfinanciera.gov.co  (Evolución de la cartera de créditos)  [pegar la URL exacta]</t>
  </si>
  <si>
    <t xml:space="preserve">[completar]; cifras reportadas al 25-sep-2026</t>
  </si>
  <si>
    <t xml:space="preserve">Saldo del último mes del trimestre. Real = B × IPC(jun-2026) / IPC(mes). Índice = 100 × real / real(2021-I).</t>
  </si>
  <si>
    <t xml:space="preserve">Cartera vencida de consumo (V)</t>
  </si>
  <si>
    <t xml:space="preserve">CONSUMO - VENCIDA (hoja C5)</t>
  </si>
  <si>
    <t xml:space="preserve">Igual a la cartera bruta (misma hoja y cobertura)</t>
  </si>
  <si>
    <t xml:space="preserve">Miles de millones de pesos corrientes</t>
  </si>
  <si>
    <t xml:space="preserve">Mensual; se usan mar/jun/sep/dic 2021-2026</t>
  </si>
  <si>
    <t xml:space="preserve">https://www.superfinanciera.gov.co  [pegar la URL exacta]</t>
  </si>
  <si>
    <t xml:space="preserve">Vencimiento: mora &gt; 30 días (criterio SFC; confirmar en la Circular Básica Contable y Financiera, Cap. II). No se usa DETERIORO (provisiones) ni calidad por calificación (cartera riesgosa B-E). Real e índice igual que B. Morosidad = 100 × V / B.</t>
  </si>
  <si>
    <t xml:space="preserve">Consumo final de los hogares (C)</t>
  </si>
  <si>
    <t xml:space="preserve">DANE</t>
  </si>
  <si>
    <t xml:space="preserve">Gasto de consumo final individual de los hogares; gasto de consumo final de las ISFLSH (P.311 + P.313 + P.323), Cuadro 2</t>
  </si>
  <si>
    <t xml:space="preserve">Total nacional; incluye ISFLSH; excluye Gobierno</t>
  </si>
  <si>
    <t xml:space="preserve">Miles de millones de pesos, series encadenadas de volumen, año de referencia 2015; ajustada por efecto estacional y calendario</t>
  </si>
  <si>
    <t xml:space="preserve">Trimestral, 2020-IV–2026-II (2024p provisional; 2025-2026pr preliminar)</t>
  </si>
  <si>
    <t xml:space="preserve">anex-GastoConstantes-IItrim2026.xlsx, Cuadro 2</t>
  </si>
  <si>
    <t xml:space="preserve">https://www.dane.gov.co  (Cuentas nacionales trimestrales, PIB enfoque del gasto)  [pegar la URL exacta]</t>
  </si>
  <si>
    <t xml:space="preserve">[completar]; anexo actualizado el 18-ago-2026</t>
  </si>
  <si>
    <t xml:space="preserve">No se deflacta. Índice = 100 × C / C(2021-I). Variación trimestral = 100 × (C_t / C_t-1 − 1).</t>
  </si>
  <si>
    <t xml:space="preserve">IPC (deflactor)</t>
  </si>
  <si>
    <t xml:space="preserve">DANE (vía Banco de la República)</t>
  </si>
  <si>
    <t xml:space="preserve">Índice de Precios al Consumidor (IPC) (Dato fin de mes)</t>
  </si>
  <si>
    <t xml:space="preserve">Total nacional</t>
  </si>
  <si>
    <t xml:space="preserve">Índice, base dic-2018 = 100</t>
  </si>
  <si>
    <t xml:space="preserve">Datos_BANREP_2.xlsx, hoja Datos</t>
  </si>
  <si>
    <t xml:space="preserve">https://www.banrep.gov.co/es/estadisticas  [pegar la URL exacta]</t>
  </si>
  <si>
    <t xml:space="preserve">IPC del último mes de cada trimestre. IPC base fijo = jun-2026 (159,53).</t>
  </si>
  <si>
    <t xml:space="preserve">Índice de Precios al Consumidor (IPC) (Variación porcentual anual)</t>
  </si>
  <si>
    <t xml:space="preserve">% (variación a 12 meses)</t>
  </si>
  <si>
    <t xml:space="preserve">Dato del último mes de cada trimestre (mar, jun, sep, dic). Idéntica a 'Inflación total anual'.</t>
  </si>
  <si>
    <t xml:space="preserve">Figuras del taller (también en output/figuras/*.png)</t>
  </si>
  <si>
    <t xml:space="preserve">Fecha</t>
  </si>
  <si>
    <t xml:space="preserve">TPM diaria (%)</t>
  </si>
  <si>
    <t xml:space="preserve">Mes</t>
  </si>
  <si>
    <t xml:space="preserve">TPM, promedio diario del mes (%)</t>
  </si>
  <si>
    <t xml:space="preserve">TPM 'Dato mes' BanRep (%) [control]</t>
  </si>
  <si>
    <t xml:space="preserve">Tasa crédito de consumo, prom. mensual (% e.a.)</t>
  </si>
  <si>
    <t xml:space="preserve">IPC (dic-2018=100)</t>
  </si>
  <si>
    <t xml:space="preserve">Inflación anual (%)</t>
  </si>
  <si>
    <t xml:space="preserve">Cartera bruta consumo (miles de millones $)</t>
  </si>
  <si>
    <t xml:space="preserve">Cartera vencida consumo (miles de millones $)</t>
  </si>
  <si>
    <t xml:space="preserve">Indicador calidad tradicional consumo SFC (fracción) [control]</t>
  </si>
  <si>
    <t xml:space="preserve">Controles de cálculo (diferencias ≈ 0 confirman que las fórmulas reproducen las fuentes)</t>
  </si>
  <si>
    <t xml:space="preserve">Morosidad propia (%)</t>
  </si>
  <si>
    <t xml:space="preserve">Indicador SFC × 100 (%)</t>
  </si>
  <si>
    <t xml:space="preserve">Diferencia</t>
  </si>
  <si>
    <t xml:space="preserve">Var. trim. consumo propia (%)</t>
  </si>
  <si>
    <t xml:space="preserve">Var. trim. publicada DANE (%)</t>
  </si>
  <si>
    <t xml:space="preserve">TPM prom. diario (%)</t>
  </si>
  <si>
    <t xml:space="preserve">TPM 'Dato mes' prom. (%)</t>
  </si>
  <si>
    <t xml:space="preserve">Diferencia (p.p.)</t>
  </si>
  <si>
    <t xml:space="preserve">Máx. |dif.|</t>
  </si>
  <si>
    <t xml:space="preserve">D: el indicador SFC viene redondeado a 6 decimales (fracción), por eso la diferencia es del orden de 0,0001 p.p. G: la variación publicada por el DANE en el Cuadro 2. J: diferencia por la forma de agregar la TPM (decisión 1); máximo 0,15 p.p. en 2022-IV.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</si>
</sst>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#,##0.0"/>
    <numFmt numFmtId="167" formatCode="0.0"/>
    <numFmt numFmtId="168" formatCode="dd/mm/yyyy"/>
    <numFmt numFmtId="169" formatCode="mmm\-yyyy"/>
    <numFmt numFmtId="170" formatCode="0.000"/>
    <numFmt numFmtId="171" formatCode="0.000000"/>
    <numFmt numFmtId="172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2514E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E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175680</xdr:rowOff>
    </xdr:from>
    <xdr:to>
      <xdr:col>11</xdr:col>
      <xdr:colOff>131040</xdr:colOff>
      <xdr:row>22</xdr:row>
      <xdr:rowOff>152640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80880"/>
          <a:ext cx="6857640" cy="397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</xdr:row>
      <xdr:rowOff>175680</xdr:rowOff>
    </xdr:from>
    <xdr:to>
      <xdr:col>11</xdr:col>
      <xdr:colOff>131040</xdr:colOff>
      <xdr:row>45</xdr:row>
      <xdr:rowOff>152640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4762440"/>
          <a:ext cx="6857640" cy="397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</xdr:row>
      <xdr:rowOff>176040</xdr:rowOff>
    </xdr:from>
    <xdr:to>
      <xdr:col>11</xdr:col>
      <xdr:colOff>131040</xdr:colOff>
      <xdr:row>68</xdr:row>
      <xdr:rowOff>152640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9144000"/>
          <a:ext cx="6857640" cy="397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</xdr:row>
      <xdr:rowOff>176040</xdr:rowOff>
    </xdr:from>
    <xdr:to>
      <xdr:col>11</xdr:col>
      <xdr:colOff>131040</xdr:colOff>
      <xdr:row>99</xdr:row>
      <xdr:rowOff>137520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13525560"/>
          <a:ext cx="6857640" cy="5486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15"/>
    <col collapsed="false" customWidth="true" hidden="false" outlineLevel="0" max="10" min="9" style="0" width="14"/>
    <col collapsed="false" customWidth="true" hidden="false" outlineLevel="0" max="13" min="11" style="0" width="11"/>
    <col collapsed="false" customWidth="true" hidden="false" outlineLevel="0" max="14" min="14" style="0" width="16"/>
    <col collapsed="false" customWidth="true" hidden="false" outlineLevel="0" max="16" min="15" style="0" width="11"/>
  </cols>
  <sheetData>
    <row r="1" customFormat="false" ht="16.15" hidden="false" customHeight="false" outlineLevel="0" collapsed="false">
      <c r="A1" s="1" t="s">
        <v>18</v>
      </c>
    </row>
    <row r="2" customFormat="false" ht="15" hidden="false" customHeight="false" outlineLevel="0" collapsed="false">
      <c r="A2" s="4" t="s">
        <v>19</v>
      </c>
    </row>
    <row r="4" customFormat="false" ht="15" hidden="false" customHeight="false" outlineLevel="0" collapsed="false">
      <c r="A4" s="3" t="s">
        <v>20</v>
      </c>
      <c r="C4" s="5" t="n">
        <f aca="false">Mensual!F67</f>
        <v>159.53</v>
      </c>
    </row>
    <row r="6" customFormat="false" ht="43.5" hidden="false" customHeight="true" outlineLevel="0" collapsed="false">
      <c r="A6" s="6" t="s">
        <v>21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 t="s">
        <v>28</v>
      </c>
      <c r="I6" s="6" t="s">
        <v>29</v>
      </c>
      <c r="J6" s="6" t="s">
        <v>30</v>
      </c>
      <c r="K6" s="6" t="s">
        <v>31</v>
      </c>
      <c r="L6" s="6" t="s">
        <v>32</v>
      </c>
      <c r="M6" s="6" t="s">
        <v>33</v>
      </c>
      <c r="N6" s="6" t="s">
        <v>34</v>
      </c>
      <c r="O6" s="6" t="s">
        <v>35</v>
      </c>
      <c r="P6" s="6" t="s">
        <v>36</v>
      </c>
    </row>
    <row r="7" customFormat="false" ht="43.5" hidden="false" customHeight="true" outlineLevel="0" collapsed="false">
      <c r="A7" s="7"/>
      <c r="B7" s="7" t="s">
        <v>37</v>
      </c>
      <c r="C7" s="7" t="s">
        <v>37</v>
      </c>
      <c r="D7" s="7" t="s">
        <v>38</v>
      </c>
      <c r="E7" s="7" t="s">
        <v>39</v>
      </c>
      <c r="F7" s="7" t="s">
        <v>40</v>
      </c>
      <c r="G7" s="7" t="s">
        <v>41</v>
      </c>
      <c r="H7" s="7" t="s">
        <v>41</v>
      </c>
      <c r="I7" s="7" t="s">
        <v>42</v>
      </c>
      <c r="J7" s="7" t="s">
        <v>42</v>
      </c>
      <c r="K7" s="7" t="s">
        <v>43</v>
      </c>
      <c r="L7" s="7" t="s">
        <v>43</v>
      </c>
      <c r="M7" s="7" t="s">
        <v>44</v>
      </c>
      <c r="N7" s="7" t="s">
        <v>45</v>
      </c>
      <c r="O7" s="7" t="s">
        <v>43</v>
      </c>
      <c r="P7" s="7" t="s">
        <v>44</v>
      </c>
    </row>
    <row r="8" customFormat="false" ht="15" hidden="false" customHeight="false" outlineLevel="0" collapsed="false">
      <c r="A8" s="3" t="s">
        <v>46</v>
      </c>
      <c r="N8" s="8" t="n">
        <v>157576.19508406</v>
      </c>
      <c r="O8" s="9" t="n">
        <f aca="false">100*N8/N$9</f>
        <v>97.500165807748</v>
      </c>
    </row>
    <row r="9" customFormat="false" ht="15" hidden="false" customHeight="false" outlineLevel="0" collapsed="false">
      <c r="A9" s="3" t="s">
        <v>47</v>
      </c>
      <c r="B9" s="10" t="n">
        <f aca="false">AVERAGE(Mensual!C2:C4)</f>
        <v>1.75</v>
      </c>
      <c r="C9" s="10" t="n">
        <f aca="false">AVERAGE(Mensual!E2:E4)</f>
        <v>14.1033333333333</v>
      </c>
      <c r="D9" s="11" t="n">
        <f aca="false">C9-B9</f>
        <v>12.3533333333333</v>
      </c>
      <c r="E9" s="10" t="n">
        <f aca="false">Mensual!G4</f>
        <v>1.51</v>
      </c>
      <c r="F9" s="10" t="n">
        <f aca="false">Mensual!F4</f>
        <v>107.12</v>
      </c>
      <c r="G9" s="12" t="n">
        <f aca="false">Mensual!H4</f>
        <v>161642.647314872</v>
      </c>
      <c r="H9" s="12" t="n">
        <f aca="false">Mensual!I4</f>
        <v>9838.777219304</v>
      </c>
      <c r="I9" s="13" t="n">
        <f aca="false">G9*$C$4/F9</f>
        <v>240728.636353076</v>
      </c>
      <c r="J9" s="13" t="n">
        <f aca="false">H9*$C$4/F9</f>
        <v>14652.5404200482</v>
      </c>
      <c r="K9" s="9" t="n">
        <f aca="false">100*I9/I$9</f>
        <v>100</v>
      </c>
      <c r="L9" s="9" t="n">
        <f aca="false">100*J9/J$9</f>
        <v>100</v>
      </c>
      <c r="M9" s="11" t="n">
        <f aca="false">100*H9/G9</f>
        <v>6.08674590693788</v>
      </c>
      <c r="N9" s="8" t="n">
        <v>161616.335499132</v>
      </c>
      <c r="O9" s="9" t="n">
        <f aca="false">100*N9/N$9</f>
        <v>100</v>
      </c>
      <c r="P9" s="11" t="n">
        <f aca="false">100*(N9/N8-1)</f>
        <v>2.56392814467741</v>
      </c>
    </row>
    <row r="10" customFormat="false" ht="15" hidden="false" customHeight="false" outlineLevel="0" collapsed="false">
      <c r="A10" s="3" t="s">
        <v>48</v>
      </c>
      <c r="B10" s="10" t="n">
        <f aca="false">AVERAGE(Mensual!C5:C7)</f>
        <v>1.75</v>
      </c>
      <c r="C10" s="10" t="n">
        <f aca="false">AVERAGE(Mensual!E5:E7)</f>
        <v>13.7166666666667</v>
      </c>
      <c r="D10" s="11" t="n">
        <f aca="false">C10-B10</f>
        <v>11.9666666666667</v>
      </c>
      <c r="E10" s="10" t="n">
        <f aca="false">Mensual!G7</f>
        <v>3.63</v>
      </c>
      <c r="F10" s="10" t="n">
        <f aca="false">Mensual!F7</f>
        <v>108.78</v>
      </c>
      <c r="G10" s="12" t="n">
        <f aca="false">Mensual!H7</f>
        <v>163953.792184075</v>
      </c>
      <c r="H10" s="12" t="n">
        <f aca="false">Mensual!I7</f>
        <v>9024.527137924</v>
      </c>
      <c r="I10" s="13" t="n">
        <f aca="false">G10*$C$4/F10</f>
        <v>240444.460995822</v>
      </c>
      <c r="J10" s="13" t="n">
        <f aca="false">H10*$C$4/F10</f>
        <v>13234.8116778178</v>
      </c>
      <c r="K10" s="9" t="n">
        <f aca="false">100*I10/I$9</f>
        <v>99.8819519930991</v>
      </c>
      <c r="L10" s="9" t="n">
        <f aca="false">100*J10/J$9</f>
        <v>90.3243485321448</v>
      </c>
      <c r="M10" s="11" t="n">
        <f aca="false">100*H10/G10</f>
        <v>5.50431131705203</v>
      </c>
      <c r="N10" s="8" t="n">
        <v>158852.468246174</v>
      </c>
      <c r="O10" s="9" t="n">
        <f aca="false">100*N10/N$9</f>
        <v>98.2898589771745</v>
      </c>
      <c r="P10" s="11" t="n">
        <f aca="false">100*(N10/N9-1)</f>
        <v>-1.71014102282554</v>
      </c>
    </row>
    <row r="11" customFormat="false" ht="15" hidden="false" customHeight="false" outlineLevel="0" collapsed="false">
      <c r="A11" s="3" t="s">
        <v>49</v>
      </c>
      <c r="B11" s="10" t="n">
        <f aca="false">AVERAGE(Mensual!C8:C10)</f>
        <v>1.75</v>
      </c>
      <c r="C11" s="10" t="n">
        <f aca="false">AVERAGE(Mensual!E8:E10)</f>
        <v>14.34</v>
      </c>
      <c r="D11" s="11" t="n">
        <f aca="false">C11-B11</f>
        <v>12.59</v>
      </c>
      <c r="E11" s="10" t="n">
        <f aca="false">Mensual!G10</f>
        <v>4.51</v>
      </c>
      <c r="F11" s="10" t="n">
        <f aca="false">Mensual!F10</f>
        <v>110.04</v>
      </c>
      <c r="G11" s="12" t="n">
        <f aca="false">Mensual!H10</f>
        <v>171204.832977836</v>
      </c>
      <c r="H11" s="12" t="n">
        <f aca="false">Mensual!I10</f>
        <v>8657.473905845</v>
      </c>
      <c r="I11" s="13" t="n">
        <f aca="false">G11*$C$4/F11</f>
        <v>248203.44424713</v>
      </c>
      <c r="J11" s="13" t="n">
        <f aca="false">H11*$C$4/F11</f>
        <v>12551.1342439063</v>
      </c>
      <c r="K11" s="9" t="n">
        <f aca="false">100*I11/I$9</f>
        <v>103.105076324651</v>
      </c>
      <c r="L11" s="9" t="n">
        <f aca="false">100*J11/J$9</f>
        <v>85.6584174764216</v>
      </c>
      <c r="M11" s="11" t="n">
        <f aca="false">100*H11/G11</f>
        <v>5.05679293934756</v>
      </c>
      <c r="N11" s="8" t="n">
        <v>168790.192481724</v>
      </c>
      <c r="O11" s="9" t="n">
        <f aca="false">100*N11/N$9</f>
        <v>104.438819232249</v>
      </c>
      <c r="P11" s="11" t="n">
        <f aca="false">100*(N11/N10-1)</f>
        <v>6.25594574970625</v>
      </c>
    </row>
    <row r="12" customFormat="false" ht="15" hidden="false" customHeight="false" outlineLevel="0" collapsed="false">
      <c r="A12" s="3" t="s">
        <v>50</v>
      </c>
      <c r="B12" s="10" t="n">
        <f aca="false">AVERAGE(Mensual!C11:C13)</f>
        <v>2.39229390681004</v>
      </c>
      <c r="C12" s="10" t="n">
        <f aca="false">AVERAGE(Mensual!E11:E13)</f>
        <v>14.82</v>
      </c>
      <c r="D12" s="11" t="n">
        <f aca="false">C12-B12</f>
        <v>12.42770609319</v>
      </c>
      <c r="E12" s="10" t="n">
        <f aca="false">Mensual!G13</f>
        <v>5.62</v>
      </c>
      <c r="F12" s="10" t="n">
        <f aca="false">Mensual!F13</f>
        <v>111.41</v>
      </c>
      <c r="G12" s="12" t="n">
        <f aca="false">Mensual!H13</f>
        <v>180865.68763167</v>
      </c>
      <c r="H12" s="12" t="n">
        <f aca="false">Mensual!I13</f>
        <v>8020.822298773</v>
      </c>
      <c r="I12" s="13" t="n">
        <f aca="false">G12*$C$4/F12</f>
        <v>258984.859060051</v>
      </c>
      <c r="J12" s="13" t="n">
        <f aca="false">H12*$C$4/F12</f>
        <v>11485.1609489566</v>
      </c>
      <c r="K12" s="9" t="n">
        <f aca="false">100*I12/I$9</f>
        <v>107.583735355938</v>
      </c>
      <c r="L12" s="9" t="n">
        <f aca="false">100*J12/J$9</f>
        <v>78.3834107923164</v>
      </c>
      <c r="M12" s="11" t="n">
        <f aca="false">100*H12/G12</f>
        <v>4.43468432503752</v>
      </c>
      <c r="N12" s="8" t="n">
        <v>179579.00377297</v>
      </c>
      <c r="O12" s="9" t="n">
        <f aca="false">100*N12/N$9</f>
        <v>111.114389036456</v>
      </c>
      <c r="P12" s="11" t="n">
        <f aca="false">100*(N12/N11-1)</f>
        <v>6.39184725878796</v>
      </c>
    </row>
    <row r="13" customFormat="false" ht="15" hidden="false" customHeight="false" outlineLevel="0" collapsed="false">
      <c r="A13" s="3" t="s">
        <v>51</v>
      </c>
      <c r="B13" s="10" t="n">
        <f aca="false">AVERAGE(Mensual!C14:C16)</f>
        <v>3.67741935483871</v>
      </c>
      <c r="C13" s="10" t="n">
        <f aca="false">AVERAGE(Mensual!E14:E16)</f>
        <v>16.73</v>
      </c>
      <c r="D13" s="11" t="n">
        <f aca="false">C13-B13</f>
        <v>13.0525806451613</v>
      </c>
      <c r="E13" s="10" t="n">
        <f aca="false">Mensual!G16</f>
        <v>8.53</v>
      </c>
      <c r="F13" s="10" t="n">
        <f aca="false">Mensual!F16</f>
        <v>116.26</v>
      </c>
      <c r="G13" s="12" t="n">
        <f aca="false">Mensual!H16</f>
        <v>190568.22607607</v>
      </c>
      <c r="H13" s="12" t="n">
        <f aca="false">Mensual!I16</f>
        <v>8391.166039422</v>
      </c>
      <c r="I13" s="13" t="n">
        <f aca="false">G13*$C$4/F13</f>
        <v>261494.487406808</v>
      </c>
      <c r="J13" s="13" t="n">
        <f aca="false">H13*$C$4/F13</f>
        <v>11514.2157084895</v>
      </c>
      <c r="K13" s="9" t="n">
        <f aca="false">100*I13/I$9</f>
        <v>108.626248778842</v>
      </c>
      <c r="L13" s="9" t="n">
        <f aca="false">100*J13/J$9</f>
        <v>78.5817024106979</v>
      </c>
      <c r="M13" s="11" t="n">
        <f aca="false">100*H13/G13</f>
        <v>4.40323458543003</v>
      </c>
      <c r="N13" s="8" t="n">
        <v>181359.53517962</v>
      </c>
      <c r="O13" s="9" t="n">
        <f aca="false">100*N13/N$9</f>
        <v>112.216091658998</v>
      </c>
      <c r="P13" s="11" t="n">
        <f aca="false">100*(N13/N12-1)</f>
        <v>0.991503109629122</v>
      </c>
    </row>
    <row r="14" customFormat="false" ht="15" hidden="false" customHeight="false" outlineLevel="0" collapsed="false">
      <c r="A14" s="3" t="s">
        <v>52</v>
      </c>
      <c r="B14" s="10" t="n">
        <f aca="false">AVERAGE(Mensual!C17:C19)</f>
        <v>5.65591397849462</v>
      </c>
      <c r="C14" s="10" t="n">
        <f aca="false">AVERAGE(Mensual!E17:E19)</f>
        <v>19.1</v>
      </c>
      <c r="D14" s="11" t="n">
        <f aca="false">C14-B14</f>
        <v>13.4440860215054</v>
      </c>
      <c r="E14" s="10" t="n">
        <f aca="false">Mensual!G19</f>
        <v>9.67</v>
      </c>
      <c r="F14" s="10" t="n">
        <f aca="false">Mensual!F19</f>
        <v>119.31</v>
      </c>
      <c r="G14" s="12" t="n">
        <f aca="false">Mensual!H19</f>
        <v>201295.580572853</v>
      </c>
      <c r="H14" s="12" t="n">
        <f aca="false">Mensual!I19</f>
        <v>9408.461729892</v>
      </c>
      <c r="I14" s="13" t="n">
        <f aca="false">G14*$C$4/F14</f>
        <v>269153.331395417</v>
      </c>
      <c r="J14" s="13" t="n">
        <f aca="false">H14*$C$4/F14</f>
        <v>12580.1014145476</v>
      </c>
      <c r="K14" s="9" t="n">
        <f aca="false">100*I14/I$9</f>
        <v>111.807774709715</v>
      </c>
      <c r="L14" s="9" t="n">
        <f aca="false">100*J14/J$9</f>
        <v>85.8561113220677</v>
      </c>
      <c r="M14" s="11" t="n">
        <f aca="false">100*H14/G14</f>
        <v>4.67395344851443</v>
      </c>
      <c r="N14" s="8" t="n">
        <v>184916.99541667</v>
      </c>
      <c r="O14" s="9" t="n">
        <f aca="false">100*N14/N$9</f>
        <v>114.417267812426</v>
      </c>
      <c r="P14" s="11" t="n">
        <f aca="false">100*(N14/N13-1)</f>
        <v>1.96155125426776</v>
      </c>
    </row>
    <row r="15" customFormat="false" ht="15" hidden="false" customHeight="false" outlineLevel="0" collapsed="false">
      <c r="A15" s="3" t="s">
        <v>53</v>
      </c>
      <c r="B15" s="10" t="n">
        <f aca="false">AVERAGE(Mensual!C20:C22)</f>
        <v>8.51111111111111</v>
      </c>
      <c r="C15" s="10" t="n">
        <f aca="false">AVERAGE(Mensual!E20:E22)</f>
        <v>23.0066666666667</v>
      </c>
      <c r="D15" s="11" t="n">
        <f aca="false">C15-B15</f>
        <v>14.4955555555556</v>
      </c>
      <c r="E15" s="10" t="n">
        <f aca="false">Mensual!G22</f>
        <v>11.44</v>
      </c>
      <c r="F15" s="10" t="n">
        <f aca="false">Mensual!F22</f>
        <v>122.63</v>
      </c>
      <c r="G15" s="12" t="n">
        <f aca="false">Mensual!H22</f>
        <v>209433.591352763</v>
      </c>
      <c r="H15" s="12" t="n">
        <f aca="false">Mensual!I22</f>
        <v>10333.439377929</v>
      </c>
      <c r="I15" s="13" t="n">
        <f aca="false">G15*$C$4/F15</f>
        <v>272453.24005958</v>
      </c>
      <c r="J15" s="13" t="n">
        <f aca="false">H15*$C$4/F15</f>
        <v>13442.8246266086</v>
      </c>
      <c r="K15" s="9" t="n">
        <f aca="false">100*I15/I$9</f>
        <v>113.178574924494</v>
      </c>
      <c r="L15" s="9" t="n">
        <f aca="false">100*J15/J$9</f>
        <v>91.7439859658436</v>
      </c>
      <c r="M15" s="11" t="n">
        <f aca="false">100*H15/G15</f>
        <v>4.9339933060326</v>
      </c>
      <c r="N15" s="8" t="n">
        <v>186877.930681274</v>
      </c>
      <c r="O15" s="9" t="n">
        <f aca="false">100*N15/N$9</f>
        <v>115.630595201979</v>
      </c>
      <c r="P15" s="11" t="n">
        <f aca="false">100*(N15/N14-1)</f>
        <v>1.0604407994979</v>
      </c>
    </row>
    <row r="16" customFormat="false" ht="15" hidden="false" customHeight="false" outlineLevel="0" collapsed="false">
      <c r="A16" s="3" t="s">
        <v>54</v>
      </c>
      <c r="B16" s="10" t="n">
        <f aca="false">AVERAGE(Mensual!C23:C25)</f>
        <v>10.8172043010753</v>
      </c>
      <c r="C16" s="10" t="n">
        <f aca="false">AVERAGE(Mensual!E23:E25)</f>
        <v>27.2666666666667</v>
      </c>
      <c r="D16" s="11" t="n">
        <f aca="false">C16-B16</f>
        <v>16.4494623655914</v>
      </c>
      <c r="E16" s="10" t="n">
        <f aca="false">Mensual!G25</f>
        <v>13.12</v>
      </c>
      <c r="F16" s="10" t="n">
        <f aca="false">Mensual!F25</f>
        <v>126.03</v>
      </c>
      <c r="G16" s="12" t="n">
        <f aca="false">Mensual!H25</f>
        <v>213945.759942173</v>
      </c>
      <c r="H16" s="12" t="n">
        <f aca="false">Mensual!I25</f>
        <v>11777.184624535</v>
      </c>
      <c r="I16" s="13" t="n">
        <f aca="false">G16*$C$4/F16</f>
        <v>270814.624165475</v>
      </c>
      <c r="J16" s="13" t="n">
        <f aca="false">H16*$C$4/F16</f>
        <v>14907.6748643344</v>
      </c>
      <c r="K16" s="9" t="n">
        <f aca="false">100*I16/I$9</f>
        <v>112.497884866623</v>
      </c>
      <c r="L16" s="9" t="n">
        <f aca="false">100*J16/J$9</f>
        <v>101.74123010053</v>
      </c>
      <c r="M16" s="11" t="n">
        <f aca="false">100*H16/G16</f>
        <v>5.50475252592911</v>
      </c>
      <c r="N16" s="8" t="n">
        <v>187849.538722436</v>
      </c>
      <c r="O16" s="9" t="n">
        <f aca="false">100*N16/N$9</f>
        <v>116.231777030636</v>
      </c>
      <c r="P16" s="11" t="n">
        <f aca="false">100*(N16/N15-1)</f>
        <v>0.519915881784394</v>
      </c>
    </row>
    <row r="17" customFormat="false" ht="15" hidden="false" customHeight="false" outlineLevel="0" collapsed="false">
      <c r="A17" s="3" t="s">
        <v>55</v>
      </c>
      <c r="B17" s="10" t="n">
        <f aca="false">AVERAGE(Mensual!C26:C28)</f>
        <v>12.5188172043011</v>
      </c>
      <c r="C17" s="10" t="n">
        <f aca="false">AVERAGE(Mensual!E26:E28)</f>
        <v>30.16</v>
      </c>
      <c r="D17" s="11" t="n">
        <f aca="false">C17-B17</f>
        <v>17.6411827956989</v>
      </c>
      <c r="E17" s="10" t="n">
        <f aca="false">Mensual!G28</f>
        <v>13.34</v>
      </c>
      <c r="F17" s="10" t="n">
        <f aca="false">Mensual!F28</f>
        <v>131.77</v>
      </c>
      <c r="G17" s="12" t="n">
        <f aca="false">Mensual!H28</f>
        <v>213106.834320781</v>
      </c>
      <c r="H17" s="12" t="n">
        <f aca="false">Mensual!I28</f>
        <v>14370.307885755</v>
      </c>
      <c r="I17" s="13" t="n">
        <f aca="false">G17*$C$4/F17</f>
        <v>258002.073910558</v>
      </c>
      <c r="J17" s="13" t="n">
        <f aca="false">H17*$C$4/F17</f>
        <v>17397.7021857365</v>
      </c>
      <c r="K17" s="9" t="n">
        <f aca="false">100*I17/I$9</f>
        <v>107.175480997677</v>
      </c>
      <c r="L17" s="9" t="n">
        <f aca="false">100*J17/J$9</f>
        <v>118.73505676826</v>
      </c>
      <c r="M17" s="11" t="n">
        <f aca="false">100*H17/G17</f>
        <v>6.74324121587014</v>
      </c>
      <c r="N17" s="8" t="n">
        <v>186443.134534016</v>
      </c>
      <c r="O17" s="9" t="n">
        <f aca="false">100*N17/N$9</f>
        <v>115.361565375313</v>
      </c>
      <c r="P17" s="11" t="n">
        <f aca="false">100*(N17/N16-1)</f>
        <v>-0.748686527518228</v>
      </c>
    </row>
    <row r="18" customFormat="false" ht="15" hidden="false" customHeight="false" outlineLevel="0" collapsed="false">
      <c r="A18" s="3" t="s">
        <v>56</v>
      </c>
      <c r="B18" s="10" t="n">
        <f aca="false">AVERAGE(Mensual!C29:C31)</f>
        <v>13.1639784946237</v>
      </c>
      <c r="C18" s="10" t="n">
        <f aca="false">AVERAGE(Mensual!E29:E31)</f>
        <v>28.5433333333333</v>
      </c>
      <c r="D18" s="11" t="n">
        <f aca="false">C18-B18</f>
        <v>15.3793548387097</v>
      </c>
      <c r="E18" s="10" t="n">
        <f aca="false">Mensual!G31</f>
        <v>12.13</v>
      </c>
      <c r="F18" s="10" t="n">
        <f aca="false">Mensual!F31</f>
        <v>133.78</v>
      </c>
      <c r="G18" s="12" t="n">
        <f aca="false">Mensual!H31</f>
        <v>211899.667997021</v>
      </c>
      <c r="H18" s="12" t="n">
        <f aca="false">Mensual!I31</f>
        <v>15974.106385148</v>
      </c>
      <c r="I18" s="13" t="n">
        <f aca="false">G18*$C$4/F18</f>
        <v>252686.156641985</v>
      </c>
      <c r="J18" s="13" t="n">
        <f aca="false">H18*$C$4/F18</f>
        <v>19048.8054389495</v>
      </c>
      <c r="K18" s="9" t="n">
        <f aca="false">100*I18/I$9</f>
        <v>104.967219716798</v>
      </c>
      <c r="L18" s="9" t="n">
        <f aca="false">100*J18/J$9</f>
        <v>130.003432120795</v>
      </c>
      <c r="M18" s="11" t="n">
        <f aca="false">100*H18/G18</f>
        <v>7.53852355510655</v>
      </c>
      <c r="N18" s="8" t="n">
        <v>186036.473697821</v>
      </c>
      <c r="O18" s="9" t="n">
        <f aca="false">100*N18/N$9</f>
        <v>115.109944253637</v>
      </c>
      <c r="P18" s="11" t="n">
        <f aca="false">100*(N18/N17-1)</f>
        <v>-0.218115210952319</v>
      </c>
    </row>
    <row r="19" customFormat="false" ht="15" hidden="false" customHeight="false" outlineLevel="0" collapsed="false">
      <c r="A19" s="3" t="s">
        <v>57</v>
      </c>
      <c r="B19" s="10" t="n">
        <f aca="false">AVERAGE(Mensual!C32:C34)</f>
        <v>13.25</v>
      </c>
      <c r="C19" s="10" t="n">
        <f aca="false">AVERAGE(Mensual!E32:E34)</f>
        <v>26.7966666666667</v>
      </c>
      <c r="D19" s="11" t="n">
        <f aca="false">C19-B19</f>
        <v>13.5466666666667</v>
      </c>
      <c r="E19" s="10" t="n">
        <f aca="false">Mensual!G34</f>
        <v>10.99</v>
      </c>
      <c r="F19" s="10" t="n">
        <f aca="false">Mensual!F34</f>
        <v>136.11</v>
      </c>
      <c r="G19" s="12" t="n">
        <f aca="false">Mensual!H34</f>
        <v>211082.010744082</v>
      </c>
      <c r="H19" s="12" t="n">
        <f aca="false">Mensual!I34</f>
        <v>16431.636816059</v>
      </c>
      <c r="I19" s="13" t="n">
        <f aca="false">G19*$C$4/F19</f>
        <v>247402.198031029</v>
      </c>
      <c r="J19" s="13" t="n">
        <f aca="false">H19*$C$4/F19</f>
        <v>19258.9745152148</v>
      </c>
      <c r="K19" s="9" t="n">
        <f aca="false">100*I19/I$9</f>
        <v>102.772234238126</v>
      </c>
      <c r="L19" s="9" t="n">
        <f aca="false">100*J19/J$9</f>
        <v>131.437784596478</v>
      </c>
      <c r="M19" s="11" t="n">
        <f aca="false">100*H19/G19</f>
        <v>7.78447995550928</v>
      </c>
      <c r="N19" s="8" t="n">
        <v>185876.138729431</v>
      </c>
      <c r="O19" s="9" t="n">
        <f aca="false">100*N19/N$9</f>
        <v>115.010737098682</v>
      </c>
      <c r="P19" s="11" t="n">
        <f aca="false">100*(N19/N18-1)</f>
        <v>-0.0861846955078516</v>
      </c>
    </row>
    <row r="20" customFormat="false" ht="15" hidden="false" customHeight="false" outlineLevel="0" collapsed="false">
      <c r="A20" s="3" t="s">
        <v>58</v>
      </c>
      <c r="B20" s="10" t="n">
        <f aca="false">AVERAGE(Mensual!C35:C37)</f>
        <v>13.2177419354839</v>
      </c>
      <c r="C20" s="10" t="n">
        <f aca="false">AVERAGE(Mensual!E35:E37)</f>
        <v>26.3133333333333</v>
      </c>
      <c r="D20" s="11" t="n">
        <f aca="false">C20-B20</f>
        <v>13.0955913978495</v>
      </c>
      <c r="E20" s="10" t="n">
        <f aca="false">Mensual!G37</f>
        <v>9.28</v>
      </c>
      <c r="F20" s="10" t="n">
        <f aca="false">Mensual!F37</f>
        <v>137.72</v>
      </c>
      <c r="G20" s="12" t="n">
        <f aca="false">Mensual!H37</f>
        <v>208832.583966211</v>
      </c>
      <c r="H20" s="12" t="n">
        <f aca="false">Mensual!I37</f>
        <v>17183.371582878</v>
      </c>
      <c r="I20" s="13" t="n">
        <f aca="false">G20*$C$4/F20</f>
        <v>241904.313971316</v>
      </c>
      <c r="J20" s="13" t="n">
        <f aca="false">H20*$C$4/F20</f>
        <v>19904.612754985</v>
      </c>
      <c r="K20" s="9" t="n">
        <f aca="false">100*I20/I$9</f>
        <v>100.488382951048</v>
      </c>
      <c r="L20" s="9" t="n">
        <f aca="false">100*J20/J$9</f>
        <v>135.844107467881</v>
      </c>
      <c r="M20" s="11" t="n">
        <f aca="false">100*H20/G20</f>
        <v>8.22830003657775</v>
      </c>
      <c r="N20" s="8" t="n">
        <v>186451.253038732</v>
      </c>
      <c r="O20" s="9" t="n">
        <f aca="false">100*N20/N$9</f>
        <v>115.366588694701</v>
      </c>
      <c r="P20" s="11" t="n">
        <f aca="false">100*(N20/N19-1)</f>
        <v>0.309407282307572</v>
      </c>
    </row>
    <row r="21" customFormat="false" ht="15" hidden="false" customHeight="false" outlineLevel="0" collapsed="false">
      <c r="A21" s="3" t="s">
        <v>59</v>
      </c>
      <c r="B21" s="10" t="n">
        <f aca="false">AVERAGE(Mensual!C38:C40)</f>
        <v>12.8010752688172</v>
      </c>
      <c r="C21" s="10" t="n">
        <f aca="false">AVERAGE(Mensual!E38:E40)</f>
        <v>23.94</v>
      </c>
      <c r="D21" s="11" t="n">
        <f aca="false">C21-B21</f>
        <v>11.1389247311828</v>
      </c>
      <c r="E21" s="10" t="n">
        <f aca="false">Mensual!G40</f>
        <v>7.36</v>
      </c>
      <c r="F21" s="10" t="n">
        <f aca="false">Mensual!F40</f>
        <v>141.48</v>
      </c>
      <c r="G21" s="12" t="n">
        <f aca="false">Mensual!H40</f>
        <v>204330.784874891</v>
      </c>
      <c r="H21" s="12" t="n">
        <f aca="false">Mensual!I40</f>
        <v>17198.914551341</v>
      </c>
      <c r="I21" s="13" t="n">
        <f aca="false">G21*$C$4/F21</f>
        <v>230399.279835251</v>
      </c>
      <c r="J21" s="13" t="n">
        <f aca="false">H21*$C$4/F21</f>
        <v>19393.1498330183</v>
      </c>
      <c r="K21" s="9" t="n">
        <f aca="false">100*I21/I$9</f>
        <v>95.7091284716643</v>
      </c>
      <c r="L21" s="9" t="n">
        <f aca="false">100*J21/J$9</f>
        <v>132.35349828132</v>
      </c>
      <c r="M21" s="11" t="n">
        <f aca="false">100*H21/G21</f>
        <v>8.41719203588028</v>
      </c>
      <c r="N21" s="8" t="n">
        <v>186671.517992449</v>
      </c>
      <c r="O21" s="9" t="n">
        <f aca="false">100*N21/N$9</f>
        <v>115.50287748818</v>
      </c>
      <c r="P21" s="11" t="n">
        <f aca="false">100*(N21/N20-1)</f>
        <v>0.118135410798903</v>
      </c>
    </row>
    <row r="22" customFormat="false" ht="15" hidden="false" customHeight="false" outlineLevel="0" collapsed="false">
      <c r="A22" s="3" t="s">
        <v>60</v>
      </c>
      <c r="B22" s="10" t="n">
        <f aca="false">AVERAGE(Mensual!C41:C43)</f>
        <v>11.9220430107527</v>
      </c>
      <c r="C22" s="10" t="n">
        <f aca="false">AVERAGE(Mensual!E41:E43)</f>
        <v>22.4966666666667</v>
      </c>
      <c r="D22" s="11" t="n">
        <f aca="false">C22-B22</f>
        <v>10.574623655914</v>
      </c>
      <c r="E22" s="10" t="n">
        <f aca="false">Mensual!G43</f>
        <v>7.18</v>
      </c>
      <c r="F22" s="10" t="n">
        <f aca="false">Mensual!F43</f>
        <v>143.38</v>
      </c>
      <c r="G22" s="12" t="n">
        <f aca="false">Mensual!H43</f>
        <v>201839.194642475</v>
      </c>
      <c r="H22" s="12" t="n">
        <f aca="false">Mensual!I43</f>
        <v>16309.534604469</v>
      </c>
      <c r="I22" s="13" t="n">
        <f aca="false">G22*$C$4/F22</f>
        <v>224573.906551221</v>
      </c>
      <c r="J22" s="13" t="n">
        <f aca="false">H22*$C$4/F22</f>
        <v>18146.603818182</v>
      </c>
      <c r="K22" s="9" t="n">
        <f aca="false">100*I22/I$9</f>
        <v>93.2892363590008</v>
      </c>
      <c r="L22" s="9" t="n">
        <f aca="false">100*J22/J$9</f>
        <v>123.846127005752</v>
      </c>
      <c r="M22" s="11" t="n">
        <f aca="false">100*H22/G22</f>
        <v>8.08045961209797</v>
      </c>
      <c r="N22" s="8" t="n">
        <v>188642.529740111</v>
      </c>
      <c r="O22" s="9" t="n">
        <f aca="false">100*N22/N$9</f>
        <v>116.722439694918</v>
      </c>
      <c r="P22" s="11" t="n">
        <f aca="false">100*(N22/N21-1)</f>
        <v>1.05587170922441</v>
      </c>
    </row>
    <row r="23" customFormat="false" ht="15" hidden="false" customHeight="false" outlineLevel="0" collapsed="false">
      <c r="A23" s="3" t="s">
        <v>61</v>
      </c>
      <c r="B23" s="10" t="n">
        <f aca="false">AVERAGE(Mensual!C44:C46)</f>
        <v>10.9220430107527</v>
      </c>
      <c r="C23" s="10" t="n">
        <f aca="false">AVERAGE(Mensual!E44:E46)</f>
        <v>21.1866666666667</v>
      </c>
      <c r="D23" s="11" t="n">
        <f aca="false">C23-B23</f>
        <v>10.264623655914</v>
      </c>
      <c r="E23" s="10" t="n">
        <f aca="false">Mensual!G46</f>
        <v>5.81</v>
      </c>
      <c r="F23" s="10" t="n">
        <f aca="false">Mensual!F46</f>
        <v>144.02</v>
      </c>
      <c r="G23" s="12" t="n">
        <f aca="false">Mensual!H46</f>
        <v>200430.441045997</v>
      </c>
      <c r="H23" s="12" t="n">
        <f aca="false">Mensual!I46</f>
        <v>15246.241874532</v>
      </c>
      <c r="I23" s="13" t="n">
        <f aca="false">G23*$C$4/F23</f>
        <v>222015.471879377</v>
      </c>
      <c r="J23" s="13" t="n">
        <f aca="false">H23*$C$4/F23</f>
        <v>16888.1611320934</v>
      </c>
      <c r="K23" s="9" t="n">
        <f aca="false">100*I23/I$9</f>
        <v>92.2264485201285</v>
      </c>
      <c r="L23" s="9" t="n">
        <f aca="false">100*J23/J$9</f>
        <v>115.257563862348</v>
      </c>
      <c r="M23" s="11" t="n">
        <f aca="false">100*H23/G23</f>
        <v>7.60674965088418</v>
      </c>
      <c r="N23" s="8" t="n">
        <v>189804.893173078</v>
      </c>
      <c r="O23" s="9" t="n">
        <f aca="false">100*N23/N$9</f>
        <v>117.441651295266</v>
      </c>
      <c r="P23" s="11" t="n">
        <f aca="false">100*(N23/N22-1)</f>
        <v>0.616172521948455</v>
      </c>
    </row>
    <row r="24" customFormat="false" ht="15" hidden="false" customHeight="false" outlineLevel="0" collapsed="false">
      <c r="A24" s="3" t="s">
        <v>62</v>
      </c>
      <c r="B24" s="10" t="n">
        <f aca="false">AVERAGE(Mensual!C47:C49)</f>
        <v>9.89247311827957</v>
      </c>
      <c r="C24" s="10" t="n">
        <f aca="false">AVERAGE(Mensual!E47:E49)</f>
        <v>20.03</v>
      </c>
      <c r="D24" s="11" t="n">
        <f aca="false">C24-B24</f>
        <v>10.1375268817204</v>
      </c>
      <c r="E24" s="10" t="n">
        <f aca="false">Mensual!G49</f>
        <v>5.2</v>
      </c>
      <c r="F24" s="10" t="n">
        <f aca="false">Mensual!F49</f>
        <v>144.88</v>
      </c>
      <c r="G24" s="12" t="n">
        <f aca="false">Mensual!H49</f>
        <v>202124.389420613</v>
      </c>
      <c r="H24" s="12" t="n">
        <f aca="false">Mensual!I49</f>
        <v>13992.201218963</v>
      </c>
      <c r="I24" s="13" t="n">
        <f aca="false">G24*$C$4/F24</f>
        <v>222562.837136046</v>
      </c>
      <c r="J24" s="13" t="n">
        <f aca="false">H24*$C$4/F24</f>
        <v>15407.0669551433</v>
      </c>
      <c r="K24" s="9" t="n">
        <f aca="false">100*I24/I$9</f>
        <v>92.4538270592842</v>
      </c>
      <c r="L24" s="9" t="n">
        <f aca="false">100*J24/J$9</f>
        <v>105.149458820552</v>
      </c>
      <c r="M24" s="11" t="n">
        <f aca="false">100*H24/G24</f>
        <v>6.92256944304023</v>
      </c>
      <c r="N24" s="8" t="n">
        <v>191904.059094361</v>
      </c>
      <c r="O24" s="9" t="n">
        <f aca="false">100*N24/N$9</f>
        <v>118.740508811618</v>
      </c>
      <c r="P24" s="11" t="n">
        <f aca="false">100*(N24/N23-1)</f>
        <v>1.10595985498059</v>
      </c>
    </row>
    <row r="25" customFormat="false" ht="15" hidden="false" customHeight="false" outlineLevel="0" collapsed="false">
      <c r="A25" s="3" t="s">
        <v>63</v>
      </c>
      <c r="B25" s="10" t="n">
        <f aca="false">AVERAGE(Mensual!C50:C52)</f>
        <v>9.5</v>
      </c>
      <c r="C25" s="10" t="n">
        <f aca="false">AVERAGE(Mensual!E50:E52)</f>
        <v>19.4666666666667</v>
      </c>
      <c r="D25" s="11" t="n">
        <f aca="false">C25-B25</f>
        <v>9.96666666666667</v>
      </c>
      <c r="E25" s="10" t="n">
        <f aca="false">Mensual!G52</f>
        <v>5.09</v>
      </c>
      <c r="F25" s="10" t="n">
        <f aca="false">Mensual!F52</f>
        <v>148.68</v>
      </c>
      <c r="G25" s="12" t="n">
        <f aca="false">Mensual!H52</f>
        <v>201289.123001538</v>
      </c>
      <c r="H25" s="12" t="n">
        <f aca="false">Mensual!I52</f>
        <v>13184.570133077</v>
      </c>
      <c r="I25" s="13" t="n">
        <f aca="false">G25*$C$4/F25</f>
        <v>215978.300998355</v>
      </c>
      <c r="J25" s="13" t="n">
        <f aca="false">H25*$C$4/F25</f>
        <v>14146.7209667055</v>
      </c>
      <c r="K25" s="9" t="n">
        <f aca="false">100*I25/I$9</f>
        <v>89.7185745203905</v>
      </c>
      <c r="L25" s="9" t="n">
        <f aca="false">100*J25/J$9</f>
        <v>96.5479061047281</v>
      </c>
      <c r="M25" s="11" t="n">
        <f aca="false">100*H25/G25</f>
        <v>6.55006586370604</v>
      </c>
      <c r="N25" s="8" t="n">
        <v>194998.977699993</v>
      </c>
      <c r="O25" s="9" t="n">
        <f aca="false">100*N25/N$9</f>
        <v>120.655487638525</v>
      </c>
      <c r="P25" s="11" t="n">
        <f aca="false">100*(N25/N24-1)</f>
        <v>1.61274264871605</v>
      </c>
    </row>
    <row r="26" customFormat="false" ht="15" hidden="false" customHeight="false" outlineLevel="0" collapsed="false">
      <c r="A26" s="3" t="s">
        <v>64</v>
      </c>
      <c r="B26" s="10" t="n">
        <f aca="false">AVERAGE(Mensual!C53:C55)</f>
        <v>9.33602150537634</v>
      </c>
      <c r="C26" s="10" t="n">
        <f aca="false">AVERAGE(Mensual!E53:E55)</f>
        <v>19.2866666666667</v>
      </c>
      <c r="D26" s="11" t="n">
        <f aca="false">C26-B26</f>
        <v>9.95064516129032</v>
      </c>
      <c r="E26" s="10" t="n">
        <f aca="false">Mensual!G55</f>
        <v>4.82</v>
      </c>
      <c r="F26" s="10" t="n">
        <f aca="false">Mensual!F55</f>
        <v>150.3</v>
      </c>
      <c r="G26" s="12" t="n">
        <f aca="false">Mensual!H55</f>
        <v>204000.596762225</v>
      </c>
      <c r="H26" s="12" t="n">
        <f aca="false">Mensual!I55</f>
        <v>12192.611800386</v>
      </c>
      <c r="I26" s="13" t="n">
        <f aca="false">G26*$C$4/F26</f>
        <v>216528.377920677</v>
      </c>
      <c r="J26" s="13" t="n">
        <f aca="false">H26*$C$4/F26</f>
        <v>12941.366337429</v>
      </c>
      <c r="K26" s="9" t="n">
        <f aca="false">100*I26/I$9</f>
        <v>89.9470795003778</v>
      </c>
      <c r="L26" s="9" t="n">
        <f aca="false">100*J26/J$9</f>
        <v>88.3216559479479</v>
      </c>
      <c r="M26" s="11" t="n">
        <f aca="false">100*H26/G26</f>
        <v>5.97675300655969</v>
      </c>
      <c r="N26" s="8" t="n">
        <v>195404.434855326</v>
      </c>
      <c r="O26" s="9" t="n">
        <f aca="false">100*N26/N$9</f>
        <v>120.90636398347</v>
      </c>
      <c r="P26" s="11" t="n">
        <f aca="false">100*(N26/N25-1)</f>
        <v>0.207927836399624</v>
      </c>
    </row>
    <row r="27" customFormat="false" ht="15" hidden="false" customHeight="false" outlineLevel="0" collapsed="false">
      <c r="A27" s="3" t="s">
        <v>65</v>
      </c>
      <c r="B27" s="10" t="n">
        <f aca="false">AVERAGE(Mensual!C56:C58)</f>
        <v>9.25</v>
      </c>
      <c r="C27" s="10" t="n">
        <f aca="false">AVERAGE(Mensual!E56:E58)</f>
        <v>18.85</v>
      </c>
      <c r="D27" s="11" t="n">
        <f aca="false">C27-B27</f>
        <v>9.6</v>
      </c>
      <c r="E27" s="10" t="n">
        <f aca="false">Mensual!G58</f>
        <v>5.18</v>
      </c>
      <c r="F27" s="10" t="n">
        <f aca="false">Mensual!F58</f>
        <v>151.48</v>
      </c>
      <c r="G27" s="12" t="n">
        <f aca="false">Mensual!H58</f>
        <v>209338.97582604</v>
      </c>
      <c r="H27" s="12" t="n">
        <f aca="false">Mensual!I58</f>
        <v>11252.699394355</v>
      </c>
      <c r="I27" s="13" t="n">
        <f aca="false">G27*$C$4/F27</f>
        <v>220463.736556167</v>
      </c>
      <c r="J27" s="13" t="n">
        <f aca="false">H27*$C$4/F27</f>
        <v>11850.6940479367</v>
      </c>
      <c r="K27" s="9" t="n">
        <f aca="false">100*I27/I$9</f>
        <v>91.5818491294127</v>
      </c>
      <c r="L27" s="9" t="n">
        <f aca="false">100*J27/J$9</f>
        <v>80.8780846748055</v>
      </c>
      <c r="M27" s="11" t="n">
        <f aca="false">100*H27/G27</f>
        <v>5.37534845097645</v>
      </c>
      <c r="N27" s="8" t="n">
        <v>197023.355509047</v>
      </c>
      <c r="O27" s="9" t="n">
        <f aca="false">100*N27/N$9</f>
        <v>121.908070060223</v>
      </c>
      <c r="P27" s="11" t="n">
        <f aca="false">100*(N27/N26-1)</f>
        <v>0.828497395629535</v>
      </c>
    </row>
    <row r="28" customFormat="false" ht="15" hidden="false" customHeight="false" outlineLevel="0" collapsed="false">
      <c r="A28" s="3" t="s">
        <v>66</v>
      </c>
      <c r="B28" s="10" t="n">
        <f aca="false">AVERAGE(Mensual!C59:C61)</f>
        <v>9.25</v>
      </c>
      <c r="C28" s="10" t="n">
        <f aca="false">AVERAGE(Mensual!E59:E61)</f>
        <v>18.9833333333333</v>
      </c>
      <c r="D28" s="11" t="n">
        <f aca="false">C28-B28</f>
        <v>9.73333333333333</v>
      </c>
      <c r="E28" s="10" t="n">
        <f aca="false">Mensual!G61</f>
        <v>5.1</v>
      </c>
      <c r="F28" s="10" t="n">
        <f aca="false">Mensual!F61</f>
        <v>152.27</v>
      </c>
      <c r="G28" s="12" t="n">
        <f aca="false">Mensual!H61</f>
        <v>215901.946149173</v>
      </c>
      <c r="H28" s="12" t="n">
        <f aca="false">Mensual!I61</f>
        <v>10804.101135326</v>
      </c>
      <c r="I28" s="13" t="n">
        <f aca="false">G28*$C$4/F28</f>
        <v>226195.819722713</v>
      </c>
      <c r="J28" s="13" t="n">
        <f aca="false">H28*$C$4/F28</f>
        <v>11319.2241027028</v>
      </c>
      <c r="K28" s="9" t="n">
        <f aca="false">100*I28/I$9</f>
        <v>93.9629880140028</v>
      </c>
      <c r="L28" s="9" t="n">
        <f aca="false">100*J28/J$9</f>
        <v>77.2509324541113</v>
      </c>
      <c r="M28" s="11" t="n">
        <f aca="false">100*H28/G28</f>
        <v>5.00417033196224</v>
      </c>
      <c r="N28" s="8" t="n">
        <v>196198.958378512</v>
      </c>
      <c r="O28" s="9" t="n">
        <f aca="false">100*N28/N$9</f>
        <v>121.397974884516</v>
      </c>
      <c r="P28" s="11" t="n">
        <f aca="false">100*(N28/N27-1)</f>
        <v>-0.418426093903945</v>
      </c>
    </row>
    <row r="29" customFormat="false" ht="15" hidden="false" customHeight="false" outlineLevel="0" collapsed="false">
      <c r="A29" s="3" t="s">
        <v>67</v>
      </c>
      <c r="B29" s="10" t="n">
        <f aca="false">AVERAGE(Mensual!C62:C64)</f>
        <v>9.90476190476191</v>
      </c>
      <c r="C29" s="10" t="n">
        <f aca="false">AVERAGE(Mensual!E62:E64)</f>
        <v>19.9533333333333</v>
      </c>
      <c r="D29" s="11" t="n">
        <f aca="false">C29-B29</f>
        <v>10.0485714285714</v>
      </c>
      <c r="E29" s="10" t="n">
        <f aca="false">Mensual!G64</f>
        <v>5.56</v>
      </c>
      <c r="F29" s="10" t="n">
        <f aca="false">Mensual!F64</f>
        <v>156.94</v>
      </c>
      <c r="G29" s="12" t="n">
        <f aca="false">Mensual!H64</f>
        <v>219666.698877726</v>
      </c>
      <c r="H29" s="12" t="n">
        <f aca="false">Mensual!I64</f>
        <v>11024.834282311</v>
      </c>
      <c r="I29" s="13" t="n">
        <f aca="false">G29*$C$4/F29</f>
        <v>223291.88525528</v>
      </c>
      <c r="J29" s="13" t="n">
        <f aca="false">H29*$C$4/F29</f>
        <v>11206.7784698425</v>
      </c>
      <c r="K29" s="9" t="n">
        <f aca="false">100*I29/I$9</f>
        <v>92.7566776591457</v>
      </c>
      <c r="L29" s="9" t="n">
        <f aca="false">100*J29/J$9</f>
        <v>76.4835185474654</v>
      </c>
      <c r="M29" s="11" t="n">
        <f aca="false">100*H29/G29</f>
        <v>5.01889195705891</v>
      </c>
      <c r="N29" s="8" t="n">
        <v>199985.2936598</v>
      </c>
      <c r="O29" s="9" t="n">
        <f aca="false">100*N29/N$9</f>
        <v>123.740767319201</v>
      </c>
      <c r="P29" s="11" t="n">
        <f aca="false">100*(N29/N28-1)</f>
        <v>1.92984474157263</v>
      </c>
    </row>
    <row r="30" customFormat="false" ht="15" hidden="false" customHeight="false" outlineLevel="0" collapsed="false">
      <c r="A30" s="14" t="s">
        <v>68</v>
      </c>
      <c r="B30" s="15" t="n">
        <f aca="false">AVERAGE(Mensual!C65:C67)</f>
        <v>11.25</v>
      </c>
      <c r="C30" s="15" t="n">
        <f aca="false">AVERAGE(Mensual!E65:E67)</f>
        <v>21.4133333333333</v>
      </c>
      <c r="D30" s="16" t="n">
        <f aca="false">C30-B30</f>
        <v>10.1633333333333</v>
      </c>
      <c r="E30" s="15" t="n">
        <f aca="false">Mensual!G67</f>
        <v>6.14</v>
      </c>
      <c r="F30" s="15" t="n">
        <f aca="false">Mensual!F67</f>
        <v>159.53</v>
      </c>
      <c r="G30" s="17" t="n">
        <f aca="false">Mensual!H67</f>
        <v>224646.114167768</v>
      </c>
      <c r="H30" s="17" t="n">
        <f aca="false">Mensual!I67</f>
        <v>11187.691500332</v>
      </c>
      <c r="I30" s="18" t="n">
        <f aca="false">G30*$C$4/F30</f>
        <v>224646.114167768</v>
      </c>
      <c r="J30" s="18" t="n">
        <f aca="false">H30*$C$4/F30</f>
        <v>11187.691500332</v>
      </c>
      <c r="K30" s="19" t="n">
        <f aca="false">100*I30/I$9</f>
        <v>93.3192318001918</v>
      </c>
      <c r="L30" s="19" t="n">
        <f aca="false">100*J30/J$9</f>
        <v>76.3532546549029</v>
      </c>
      <c r="M30" s="16" t="n">
        <f aca="false">100*H30/G30</f>
        <v>4.98014022712047</v>
      </c>
      <c r="N30" s="20" t="n">
        <v>200930.485888213</v>
      </c>
      <c r="O30" s="19" t="n">
        <f aca="false">100*N30/N$9</f>
        <v>124.325604381305</v>
      </c>
      <c r="P30" s="16" t="n">
        <f aca="false">100*(N30/N29-1)</f>
        <v>0.472630867558133</v>
      </c>
    </row>
    <row r="32" customFormat="false" ht="15" hidden="false" customHeight="false" outlineLevel="0" collapsed="false">
      <c r="A32" s="3" t="s">
        <v>69</v>
      </c>
    </row>
    <row r="33" customFormat="false" ht="15" hidden="false" customHeight="false" outlineLevel="0" collapsed="false">
      <c r="A33" s="4" t="s">
        <v>70</v>
      </c>
    </row>
    <row r="34" customFormat="false" ht="15" hidden="false" customHeight="false" outlineLevel="0" collapsed="false">
      <c r="A34" s="4" t="s">
        <v>71</v>
      </c>
    </row>
    <row r="35" customFormat="false" ht="15" hidden="false" customHeight="false" outlineLevel="0" collapsed="false">
      <c r="A35" s="4" t="s">
        <v>72</v>
      </c>
    </row>
    <row r="36" customFormat="false" ht="15" hidden="false" customHeight="false" outlineLevel="0" collapsed="false">
      <c r="A36" s="4" t="s">
        <v>73</v>
      </c>
    </row>
    <row r="37" customFormat="false" ht="15" hidden="false" customHeight="false" outlineLevel="0" collapsed="false">
      <c r="A37" s="4" t="s">
        <v>74</v>
      </c>
    </row>
    <row r="38" customFormat="false" ht="15" hidden="false" customHeight="false" outlineLevel="0" collapsed="false">
      <c r="A38" s="4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34"/>
    <col collapsed="false" customWidth="true" hidden="false" outlineLevel="0" max="9" min="9" style="0" width="20"/>
    <col collapsed="false" customWidth="true" hidden="false" outlineLevel="0" max="10" min="10" style="0" width="46"/>
  </cols>
  <sheetData>
    <row r="1" customFormat="false" ht="16.15" hidden="false" customHeight="false" outlineLevel="0" collapsed="false">
      <c r="A1" s="1" t="s">
        <v>76</v>
      </c>
    </row>
    <row r="2" customFormat="false" ht="15" hidden="false" customHeight="false" outlineLevel="0" collapsed="false">
      <c r="A2" s="4" t="s">
        <v>77</v>
      </c>
    </row>
    <row r="4" customFormat="false" ht="15" hidden="false" customHeight="false" outlineLevel="0" collapsed="false">
      <c r="A4" s="6" t="s">
        <v>78</v>
      </c>
      <c r="B4" s="6" t="s">
        <v>79</v>
      </c>
      <c r="C4" s="6" t="s">
        <v>80</v>
      </c>
      <c r="D4" s="6" t="s">
        <v>81</v>
      </c>
      <c r="E4" s="6" t="s">
        <v>82</v>
      </c>
      <c r="F4" s="6" t="s">
        <v>83</v>
      </c>
      <c r="G4" s="6" t="s">
        <v>84</v>
      </c>
      <c r="H4" s="6" t="s">
        <v>85</v>
      </c>
      <c r="I4" s="6" t="s">
        <v>86</v>
      </c>
      <c r="J4" s="6" t="s">
        <v>87</v>
      </c>
    </row>
    <row r="5" customFormat="false" ht="105" hidden="false" customHeight="true" outlineLevel="0" collapsed="false">
      <c r="A5" s="21" t="s">
        <v>88</v>
      </c>
      <c r="B5" s="21" t="s">
        <v>89</v>
      </c>
      <c r="C5" s="21" t="s">
        <v>90</v>
      </c>
      <c r="D5" s="21" t="s">
        <v>91</v>
      </c>
      <c r="E5" s="21" t="s">
        <v>92</v>
      </c>
      <c r="F5" s="21" t="s">
        <v>93</v>
      </c>
      <c r="G5" s="21" t="s">
        <v>94</v>
      </c>
      <c r="H5" s="21" t="s">
        <v>95</v>
      </c>
      <c r="I5" s="21" t="s">
        <v>96</v>
      </c>
      <c r="J5" s="21" t="s">
        <v>97</v>
      </c>
    </row>
    <row r="6" customFormat="false" ht="105" hidden="false" customHeight="true" outlineLevel="0" collapsed="false">
      <c r="A6" s="21" t="s">
        <v>98</v>
      </c>
      <c r="B6" s="21" t="s">
        <v>99</v>
      </c>
      <c r="C6" s="21" t="s">
        <v>100</v>
      </c>
      <c r="D6" s="21" t="s">
        <v>101</v>
      </c>
      <c r="E6" s="21" t="s">
        <v>102</v>
      </c>
      <c r="F6" s="21" t="s">
        <v>103</v>
      </c>
      <c r="G6" s="21" t="s">
        <v>94</v>
      </c>
      <c r="H6" s="21" t="s">
        <v>95</v>
      </c>
      <c r="I6" s="21" t="s">
        <v>96</v>
      </c>
      <c r="J6" s="21" t="s">
        <v>104</v>
      </c>
    </row>
    <row r="7" customFormat="false" ht="105" hidden="false" customHeight="true" outlineLevel="0" collapsed="false">
      <c r="A7" s="21" t="s">
        <v>105</v>
      </c>
      <c r="B7" s="21" t="s">
        <v>106</v>
      </c>
      <c r="C7" s="21" t="s">
        <v>107</v>
      </c>
      <c r="D7" s="21" t="s">
        <v>108</v>
      </c>
      <c r="E7" s="21" t="s">
        <v>109</v>
      </c>
      <c r="F7" s="21" t="s">
        <v>110</v>
      </c>
      <c r="G7" s="21" t="s">
        <v>111</v>
      </c>
      <c r="H7" s="21" t="s">
        <v>112</v>
      </c>
      <c r="I7" s="21" t="s">
        <v>113</v>
      </c>
      <c r="J7" s="21" t="s">
        <v>114</v>
      </c>
    </row>
    <row r="8" customFormat="false" ht="105" hidden="false" customHeight="true" outlineLevel="0" collapsed="false">
      <c r="A8" s="21" t="s">
        <v>115</v>
      </c>
      <c r="B8" s="21" t="s">
        <v>106</v>
      </c>
      <c r="C8" s="21" t="s">
        <v>116</v>
      </c>
      <c r="D8" s="21" t="s">
        <v>117</v>
      </c>
      <c r="E8" s="21" t="s">
        <v>118</v>
      </c>
      <c r="F8" s="21" t="s">
        <v>119</v>
      </c>
      <c r="G8" s="21" t="s">
        <v>111</v>
      </c>
      <c r="H8" s="21" t="s">
        <v>120</v>
      </c>
      <c r="I8" s="21" t="s">
        <v>113</v>
      </c>
      <c r="J8" s="21" t="s">
        <v>121</v>
      </c>
    </row>
    <row r="9" customFormat="false" ht="105" hidden="false" customHeight="true" outlineLevel="0" collapsed="false">
      <c r="A9" s="21" t="s">
        <v>122</v>
      </c>
      <c r="B9" s="21" t="s">
        <v>123</v>
      </c>
      <c r="C9" s="21" t="s">
        <v>124</v>
      </c>
      <c r="D9" s="21" t="s">
        <v>125</v>
      </c>
      <c r="E9" s="21" t="s">
        <v>126</v>
      </c>
      <c r="F9" s="21" t="s">
        <v>127</v>
      </c>
      <c r="G9" s="21" t="s">
        <v>128</v>
      </c>
      <c r="H9" s="21" t="s">
        <v>129</v>
      </c>
      <c r="I9" s="21" t="s">
        <v>130</v>
      </c>
      <c r="J9" s="21" t="s">
        <v>131</v>
      </c>
    </row>
    <row r="10" customFormat="false" ht="105" hidden="false" customHeight="true" outlineLevel="0" collapsed="false">
      <c r="A10" s="21" t="s">
        <v>132</v>
      </c>
      <c r="B10" s="21" t="s">
        <v>133</v>
      </c>
      <c r="C10" s="21" t="s">
        <v>134</v>
      </c>
      <c r="D10" s="21" t="s">
        <v>135</v>
      </c>
      <c r="E10" s="21" t="s">
        <v>136</v>
      </c>
      <c r="F10" s="21" t="s">
        <v>103</v>
      </c>
      <c r="G10" s="21" t="s">
        <v>137</v>
      </c>
      <c r="H10" s="21" t="s">
        <v>138</v>
      </c>
      <c r="I10" s="21" t="s">
        <v>96</v>
      </c>
      <c r="J10" s="21" t="s">
        <v>139</v>
      </c>
    </row>
    <row r="11" customFormat="false" ht="105" hidden="false" customHeight="true" outlineLevel="0" collapsed="false">
      <c r="A11" s="21" t="s">
        <v>25</v>
      </c>
      <c r="B11" s="21" t="s">
        <v>133</v>
      </c>
      <c r="C11" s="21" t="s">
        <v>140</v>
      </c>
      <c r="D11" s="21" t="s">
        <v>135</v>
      </c>
      <c r="E11" s="21" t="s">
        <v>141</v>
      </c>
      <c r="F11" s="21" t="s">
        <v>103</v>
      </c>
      <c r="G11" s="21" t="s">
        <v>137</v>
      </c>
      <c r="H11" s="21" t="s">
        <v>138</v>
      </c>
      <c r="I11" s="21" t="s">
        <v>96</v>
      </c>
      <c r="J11" s="21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3" t="s">
        <v>144</v>
      </c>
      <c r="B1" s="3" t="s">
        <v>145</v>
      </c>
    </row>
    <row r="2" customFormat="false" ht="15" hidden="false" customHeight="false" outlineLevel="0" collapsed="false">
      <c r="A2" s="22" t="n">
        <v>44197</v>
      </c>
      <c r="B2" s="23" t="n">
        <v>1.75</v>
      </c>
    </row>
    <row r="3" customFormat="false" ht="15" hidden="false" customHeight="false" outlineLevel="0" collapsed="false">
      <c r="A3" s="22" t="n">
        <v>44198</v>
      </c>
      <c r="B3" s="23" t="n">
        <v>1.75</v>
      </c>
    </row>
    <row r="4" customFormat="false" ht="15" hidden="false" customHeight="false" outlineLevel="0" collapsed="false">
      <c r="A4" s="22" t="n">
        <v>44199</v>
      </c>
      <c r="B4" s="23" t="n">
        <v>1.75</v>
      </c>
    </row>
    <row r="5" customFormat="false" ht="15" hidden="false" customHeight="false" outlineLevel="0" collapsed="false">
      <c r="A5" s="22" t="n">
        <v>44200</v>
      </c>
      <c r="B5" s="23" t="n">
        <v>1.75</v>
      </c>
    </row>
    <row r="6" customFormat="false" ht="15" hidden="false" customHeight="false" outlineLevel="0" collapsed="false">
      <c r="A6" s="22" t="n">
        <v>44201</v>
      </c>
      <c r="B6" s="23" t="n">
        <v>1.75</v>
      </c>
    </row>
    <row r="7" customFormat="false" ht="15" hidden="false" customHeight="false" outlineLevel="0" collapsed="false">
      <c r="A7" s="22" t="n">
        <v>44202</v>
      </c>
      <c r="B7" s="23" t="n">
        <v>1.75</v>
      </c>
    </row>
    <row r="8" customFormat="false" ht="15" hidden="false" customHeight="false" outlineLevel="0" collapsed="false">
      <c r="A8" s="22" t="n">
        <v>44203</v>
      </c>
      <c r="B8" s="23" t="n">
        <v>1.75</v>
      </c>
    </row>
    <row r="9" customFormat="false" ht="15" hidden="false" customHeight="false" outlineLevel="0" collapsed="false">
      <c r="A9" s="22" t="n">
        <v>44204</v>
      </c>
      <c r="B9" s="23" t="n">
        <v>1.75</v>
      </c>
    </row>
    <row r="10" customFormat="false" ht="15" hidden="false" customHeight="false" outlineLevel="0" collapsed="false">
      <c r="A10" s="22" t="n">
        <v>44205</v>
      </c>
      <c r="B10" s="23" t="n">
        <v>1.75</v>
      </c>
    </row>
    <row r="11" customFormat="false" ht="15" hidden="false" customHeight="false" outlineLevel="0" collapsed="false">
      <c r="A11" s="22" t="n">
        <v>44206</v>
      </c>
      <c r="B11" s="23" t="n">
        <v>1.75</v>
      </c>
    </row>
    <row r="12" customFormat="false" ht="15" hidden="false" customHeight="false" outlineLevel="0" collapsed="false">
      <c r="A12" s="22" t="n">
        <v>44207</v>
      </c>
      <c r="B12" s="23" t="n">
        <v>1.75</v>
      </c>
    </row>
    <row r="13" customFormat="false" ht="15" hidden="false" customHeight="false" outlineLevel="0" collapsed="false">
      <c r="A13" s="22" t="n">
        <v>44208</v>
      </c>
      <c r="B13" s="23" t="n">
        <v>1.75</v>
      </c>
    </row>
    <row r="14" customFormat="false" ht="15" hidden="false" customHeight="false" outlineLevel="0" collapsed="false">
      <c r="A14" s="22" t="n">
        <v>44209</v>
      </c>
      <c r="B14" s="23" t="n">
        <v>1.75</v>
      </c>
    </row>
    <row r="15" customFormat="false" ht="15" hidden="false" customHeight="false" outlineLevel="0" collapsed="false">
      <c r="A15" s="22" t="n">
        <v>44210</v>
      </c>
      <c r="B15" s="23" t="n">
        <v>1.75</v>
      </c>
    </row>
    <row r="16" customFormat="false" ht="15" hidden="false" customHeight="false" outlineLevel="0" collapsed="false">
      <c r="A16" s="22" t="n">
        <v>44211</v>
      </c>
      <c r="B16" s="23" t="n">
        <v>1.75</v>
      </c>
    </row>
    <row r="17" customFormat="false" ht="15" hidden="false" customHeight="false" outlineLevel="0" collapsed="false">
      <c r="A17" s="22" t="n">
        <v>44212</v>
      </c>
      <c r="B17" s="23" t="n">
        <v>1.75</v>
      </c>
    </row>
    <row r="18" customFormat="false" ht="15" hidden="false" customHeight="false" outlineLevel="0" collapsed="false">
      <c r="A18" s="22" t="n">
        <v>44213</v>
      </c>
      <c r="B18" s="23" t="n">
        <v>1.75</v>
      </c>
    </row>
    <row r="19" customFormat="false" ht="15" hidden="false" customHeight="false" outlineLevel="0" collapsed="false">
      <c r="A19" s="22" t="n">
        <v>44214</v>
      </c>
      <c r="B19" s="23" t="n">
        <v>1.75</v>
      </c>
    </row>
    <row r="20" customFormat="false" ht="15" hidden="false" customHeight="false" outlineLevel="0" collapsed="false">
      <c r="A20" s="22" t="n">
        <v>44215</v>
      </c>
      <c r="B20" s="23" t="n">
        <v>1.75</v>
      </c>
    </row>
    <row r="21" customFormat="false" ht="15" hidden="false" customHeight="false" outlineLevel="0" collapsed="false">
      <c r="A21" s="22" t="n">
        <v>44216</v>
      </c>
      <c r="B21" s="23" t="n">
        <v>1.75</v>
      </c>
    </row>
    <row r="22" customFormat="false" ht="15" hidden="false" customHeight="false" outlineLevel="0" collapsed="false">
      <c r="A22" s="22" t="n">
        <v>44217</v>
      </c>
      <c r="B22" s="23" t="n">
        <v>1.75</v>
      </c>
    </row>
    <row r="23" customFormat="false" ht="15" hidden="false" customHeight="false" outlineLevel="0" collapsed="false">
      <c r="A23" s="22" t="n">
        <v>44218</v>
      </c>
      <c r="B23" s="23" t="n">
        <v>1.75</v>
      </c>
    </row>
    <row r="24" customFormat="false" ht="15" hidden="false" customHeight="false" outlineLevel="0" collapsed="false">
      <c r="A24" s="22" t="n">
        <v>44219</v>
      </c>
      <c r="B24" s="23" t="n">
        <v>1.75</v>
      </c>
    </row>
    <row r="25" customFormat="false" ht="15" hidden="false" customHeight="false" outlineLevel="0" collapsed="false">
      <c r="A25" s="22" t="n">
        <v>44220</v>
      </c>
      <c r="B25" s="23" t="n">
        <v>1.75</v>
      </c>
    </row>
    <row r="26" customFormat="false" ht="15" hidden="false" customHeight="false" outlineLevel="0" collapsed="false">
      <c r="A26" s="22" t="n">
        <v>44221</v>
      </c>
      <c r="B26" s="23" t="n">
        <v>1.75</v>
      </c>
    </row>
    <row r="27" customFormat="false" ht="15" hidden="false" customHeight="false" outlineLevel="0" collapsed="false">
      <c r="A27" s="22" t="n">
        <v>44222</v>
      </c>
      <c r="B27" s="23" t="n">
        <v>1.75</v>
      </c>
    </row>
    <row r="28" customFormat="false" ht="15" hidden="false" customHeight="false" outlineLevel="0" collapsed="false">
      <c r="A28" s="22" t="n">
        <v>44223</v>
      </c>
      <c r="B28" s="23" t="n">
        <v>1.75</v>
      </c>
    </row>
    <row r="29" customFormat="false" ht="15" hidden="false" customHeight="false" outlineLevel="0" collapsed="false">
      <c r="A29" s="22" t="n">
        <v>44224</v>
      </c>
      <c r="B29" s="23" t="n">
        <v>1.75</v>
      </c>
    </row>
    <row r="30" customFormat="false" ht="15" hidden="false" customHeight="false" outlineLevel="0" collapsed="false">
      <c r="A30" s="22" t="n">
        <v>44225</v>
      </c>
      <c r="B30" s="23" t="n">
        <v>1.75</v>
      </c>
    </row>
    <row r="31" customFormat="false" ht="15" hidden="false" customHeight="false" outlineLevel="0" collapsed="false">
      <c r="A31" s="22" t="n">
        <v>44226</v>
      </c>
      <c r="B31" s="23" t="n">
        <v>1.75</v>
      </c>
    </row>
    <row r="32" customFormat="false" ht="15" hidden="false" customHeight="false" outlineLevel="0" collapsed="false">
      <c r="A32" s="22" t="n">
        <v>44227</v>
      </c>
      <c r="B32" s="23" t="n">
        <v>1.75</v>
      </c>
    </row>
    <row r="33" customFormat="false" ht="15" hidden="false" customHeight="false" outlineLevel="0" collapsed="false">
      <c r="A33" s="22" t="n">
        <v>44228</v>
      </c>
      <c r="B33" s="23" t="n">
        <v>1.75</v>
      </c>
    </row>
    <row r="34" customFormat="false" ht="15" hidden="false" customHeight="false" outlineLevel="0" collapsed="false">
      <c r="A34" s="22" t="n">
        <v>44229</v>
      </c>
      <c r="B34" s="23" t="n">
        <v>1.75</v>
      </c>
    </row>
    <row r="35" customFormat="false" ht="15" hidden="false" customHeight="false" outlineLevel="0" collapsed="false">
      <c r="A35" s="22" t="n">
        <v>44230</v>
      </c>
      <c r="B35" s="23" t="n">
        <v>1.75</v>
      </c>
    </row>
    <row r="36" customFormat="false" ht="15" hidden="false" customHeight="false" outlineLevel="0" collapsed="false">
      <c r="A36" s="22" t="n">
        <v>44231</v>
      </c>
      <c r="B36" s="23" t="n">
        <v>1.75</v>
      </c>
    </row>
    <row r="37" customFormat="false" ht="15" hidden="false" customHeight="false" outlineLevel="0" collapsed="false">
      <c r="A37" s="22" t="n">
        <v>44232</v>
      </c>
      <c r="B37" s="23" t="n">
        <v>1.75</v>
      </c>
    </row>
    <row r="38" customFormat="false" ht="15" hidden="false" customHeight="false" outlineLevel="0" collapsed="false">
      <c r="A38" s="22" t="n">
        <v>44233</v>
      </c>
      <c r="B38" s="23" t="n">
        <v>1.75</v>
      </c>
    </row>
    <row r="39" customFormat="false" ht="15" hidden="false" customHeight="false" outlineLevel="0" collapsed="false">
      <c r="A39" s="22" t="n">
        <v>44234</v>
      </c>
      <c r="B39" s="23" t="n">
        <v>1.75</v>
      </c>
    </row>
    <row r="40" customFormat="false" ht="15" hidden="false" customHeight="false" outlineLevel="0" collapsed="false">
      <c r="A40" s="22" t="n">
        <v>44235</v>
      </c>
      <c r="B40" s="23" t="n">
        <v>1.75</v>
      </c>
    </row>
    <row r="41" customFormat="false" ht="15" hidden="false" customHeight="false" outlineLevel="0" collapsed="false">
      <c r="A41" s="22" t="n">
        <v>44236</v>
      </c>
      <c r="B41" s="23" t="n">
        <v>1.75</v>
      </c>
    </row>
    <row r="42" customFormat="false" ht="15" hidden="false" customHeight="false" outlineLevel="0" collapsed="false">
      <c r="A42" s="22" t="n">
        <v>44237</v>
      </c>
      <c r="B42" s="23" t="n">
        <v>1.75</v>
      </c>
    </row>
    <row r="43" customFormat="false" ht="15" hidden="false" customHeight="false" outlineLevel="0" collapsed="false">
      <c r="A43" s="22" t="n">
        <v>44238</v>
      </c>
      <c r="B43" s="23" t="n">
        <v>1.75</v>
      </c>
    </row>
    <row r="44" customFormat="false" ht="15" hidden="false" customHeight="false" outlineLevel="0" collapsed="false">
      <c r="A44" s="22" t="n">
        <v>44239</v>
      </c>
      <c r="B44" s="23" t="n">
        <v>1.75</v>
      </c>
    </row>
    <row r="45" customFormat="false" ht="15" hidden="false" customHeight="false" outlineLevel="0" collapsed="false">
      <c r="A45" s="22" t="n">
        <v>44240</v>
      </c>
      <c r="B45" s="23" t="n">
        <v>1.75</v>
      </c>
    </row>
    <row r="46" customFormat="false" ht="15" hidden="false" customHeight="false" outlineLevel="0" collapsed="false">
      <c r="A46" s="22" t="n">
        <v>44241</v>
      </c>
      <c r="B46" s="23" t="n">
        <v>1.75</v>
      </c>
    </row>
    <row r="47" customFormat="false" ht="15" hidden="false" customHeight="false" outlineLevel="0" collapsed="false">
      <c r="A47" s="22" t="n">
        <v>44242</v>
      </c>
      <c r="B47" s="23" t="n">
        <v>1.75</v>
      </c>
    </row>
    <row r="48" customFormat="false" ht="15" hidden="false" customHeight="false" outlineLevel="0" collapsed="false">
      <c r="A48" s="22" t="n">
        <v>44243</v>
      </c>
      <c r="B48" s="23" t="n">
        <v>1.75</v>
      </c>
    </row>
    <row r="49" customFormat="false" ht="15" hidden="false" customHeight="false" outlineLevel="0" collapsed="false">
      <c r="A49" s="22" t="n">
        <v>44244</v>
      </c>
      <c r="B49" s="23" t="n">
        <v>1.75</v>
      </c>
    </row>
    <row r="50" customFormat="false" ht="15" hidden="false" customHeight="false" outlineLevel="0" collapsed="false">
      <c r="A50" s="22" t="n">
        <v>44245</v>
      </c>
      <c r="B50" s="23" t="n">
        <v>1.75</v>
      </c>
    </row>
    <row r="51" customFormat="false" ht="15" hidden="false" customHeight="false" outlineLevel="0" collapsed="false">
      <c r="A51" s="22" t="n">
        <v>44246</v>
      </c>
      <c r="B51" s="23" t="n">
        <v>1.75</v>
      </c>
    </row>
    <row r="52" customFormat="false" ht="15" hidden="false" customHeight="false" outlineLevel="0" collapsed="false">
      <c r="A52" s="22" t="n">
        <v>44247</v>
      </c>
      <c r="B52" s="23" t="n">
        <v>1.75</v>
      </c>
    </row>
    <row r="53" customFormat="false" ht="15" hidden="false" customHeight="false" outlineLevel="0" collapsed="false">
      <c r="A53" s="22" t="n">
        <v>44248</v>
      </c>
      <c r="B53" s="23" t="n">
        <v>1.75</v>
      </c>
    </row>
    <row r="54" customFormat="false" ht="15" hidden="false" customHeight="false" outlineLevel="0" collapsed="false">
      <c r="A54" s="22" t="n">
        <v>44249</v>
      </c>
      <c r="B54" s="23" t="n">
        <v>1.75</v>
      </c>
    </row>
    <row r="55" customFormat="false" ht="15" hidden="false" customHeight="false" outlineLevel="0" collapsed="false">
      <c r="A55" s="22" t="n">
        <v>44250</v>
      </c>
      <c r="B55" s="23" t="n">
        <v>1.75</v>
      </c>
    </row>
    <row r="56" customFormat="false" ht="15" hidden="false" customHeight="false" outlineLevel="0" collapsed="false">
      <c r="A56" s="22" t="n">
        <v>44251</v>
      </c>
      <c r="B56" s="23" t="n">
        <v>1.75</v>
      </c>
    </row>
    <row r="57" customFormat="false" ht="15" hidden="false" customHeight="false" outlineLevel="0" collapsed="false">
      <c r="A57" s="22" t="n">
        <v>44252</v>
      </c>
      <c r="B57" s="23" t="n">
        <v>1.75</v>
      </c>
    </row>
    <row r="58" customFormat="false" ht="15" hidden="false" customHeight="false" outlineLevel="0" collapsed="false">
      <c r="A58" s="22" t="n">
        <v>44253</v>
      </c>
      <c r="B58" s="23" t="n">
        <v>1.75</v>
      </c>
    </row>
    <row r="59" customFormat="false" ht="15" hidden="false" customHeight="false" outlineLevel="0" collapsed="false">
      <c r="A59" s="22" t="n">
        <v>44254</v>
      </c>
      <c r="B59" s="23" t="n">
        <v>1.75</v>
      </c>
    </row>
    <row r="60" customFormat="false" ht="15" hidden="false" customHeight="false" outlineLevel="0" collapsed="false">
      <c r="A60" s="22" t="n">
        <v>44255</v>
      </c>
      <c r="B60" s="23" t="n">
        <v>1.75</v>
      </c>
    </row>
    <row r="61" customFormat="false" ht="15" hidden="false" customHeight="false" outlineLevel="0" collapsed="false">
      <c r="A61" s="22" t="n">
        <v>44256</v>
      </c>
      <c r="B61" s="23" t="n">
        <v>1.75</v>
      </c>
    </row>
    <row r="62" customFormat="false" ht="15" hidden="false" customHeight="false" outlineLevel="0" collapsed="false">
      <c r="A62" s="22" t="n">
        <v>44257</v>
      </c>
      <c r="B62" s="23" t="n">
        <v>1.75</v>
      </c>
    </row>
    <row r="63" customFormat="false" ht="15" hidden="false" customHeight="false" outlineLevel="0" collapsed="false">
      <c r="A63" s="22" t="n">
        <v>44258</v>
      </c>
      <c r="B63" s="23" t="n">
        <v>1.75</v>
      </c>
    </row>
    <row r="64" customFormat="false" ht="15" hidden="false" customHeight="false" outlineLevel="0" collapsed="false">
      <c r="A64" s="22" t="n">
        <v>44259</v>
      </c>
      <c r="B64" s="23" t="n">
        <v>1.75</v>
      </c>
    </row>
    <row r="65" customFormat="false" ht="15" hidden="false" customHeight="false" outlineLevel="0" collapsed="false">
      <c r="A65" s="22" t="n">
        <v>44260</v>
      </c>
      <c r="B65" s="23" t="n">
        <v>1.75</v>
      </c>
    </row>
    <row r="66" customFormat="false" ht="15" hidden="false" customHeight="false" outlineLevel="0" collapsed="false">
      <c r="A66" s="22" t="n">
        <v>44261</v>
      </c>
      <c r="B66" s="23" t="n">
        <v>1.75</v>
      </c>
    </row>
    <row r="67" customFormat="false" ht="15" hidden="false" customHeight="false" outlineLevel="0" collapsed="false">
      <c r="A67" s="22" t="n">
        <v>44262</v>
      </c>
      <c r="B67" s="23" t="n">
        <v>1.75</v>
      </c>
    </row>
    <row r="68" customFormat="false" ht="15" hidden="false" customHeight="false" outlineLevel="0" collapsed="false">
      <c r="A68" s="22" t="n">
        <v>44263</v>
      </c>
      <c r="B68" s="23" t="n">
        <v>1.75</v>
      </c>
    </row>
    <row r="69" customFormat="false" ht="15" hidden="false" customHeight="false" outlineLevel="0" collapsed="false">
      <c r="A69" s="22" t="n">
        <v>44264</v>
      </c>
      <c r="B69" s="23" t="n">
        <v>1.75</v>
      </c>
    </row>
    <row r="70" customFormat="false" ht="15" hidden="false" customHeight="false" outlineLevel="0" collapsed="false">
      <c r="A70" s="22" t="n">
        <v>44265</v>
      </c>
      <c r="B70" s="23" t="n">
        <v>1.75</v>
      </c>
    </row>
    <row r="71" customFormat="false" ht="15" hidden="false" customHeight="false" outlineLevel="0" collapsed="false">
      <c r="A71" s="22" t="n">
        <v>44266</v>
      </c>
      <c r="B71" s="23" t="n">
        <v>1.75</v>
      </c>
    </row>
    <row r="72" customFormat="false" ht="15" hidden="false" customHeight="false" outlineLevel="0" collapsed="false">
      <c r="A72" s="22" t="n">
        <v>44267</v>
      </c>
      <c r="B72" s="23" t="n">
        <v>1.75</v>
      </c>
    </row>
    <row r="73" customFormat="false" ht="15" hidden="false" customHeight="false" outlineLevel="0" collapsed="false">
      <c r="A73" s="22" t="n">
        <v>44268</v>
      </c>
      <c r="B73" s="23" t="n">
        <v>1.75</v>
      </c>
    </row>
    <row r="74" customFormat="false" ht="15" hidden="false" customHeight="false" outlineLevel="0" collapsed="false">
      <c r="A74" s="22" t="n">
        <v>44269</v>
      </c>
      <c r="B74" s="23" t="n">
        <v>1.75</v>
      </c>
    </row>
    <row r="75" customFormat="false" ht="15" hidden="false" customHeight="false" outlineLevel="0" collapsed="false">
      <c r="A75" s="22" t="n">
        <v>44270</v>
      </c>
      <c r="B75" s="23" t="n">
        <v>1.75</v>
      </c>
    </row>
    <row r="76" customFormat="false" ht="15" hidden="false" customHeight="false" outlineLevel="0" collapsed="false">
      <c r="A76" s="22" t="n">
        <v>44271</v>
      </c>
      <c r="B76" s="23" t="n">
        <v>1.75</v>
      </c>
    </row>
    <row r="77" customFormat="false" ht="15" hidden="false" customHeight="false" outlineLevel="0" collapsed="false">
      <c r="A77" s="22" t="n">
        <v>44272</v>
      </c>
      <c r="B77" s="23" t="n">
        <v>1.75</v>
      </c>
    </row>
    <row r="78" customFormat="false" ht="15" hidden="false" customHeight="false" outlineLevel="0" collapsed="false">
      <c r="A78" s="22" t="n">
        <v>44273</v>
      </c>
      <c r="B78" s="23" t="n">
        <v>1.75</v>
      </c>
    </row>
    <row r="79" customFormat="false" ht="15" hidden="false" customHeight="false" outlineLevel="0" collapsed="false">
      <c r="A79" s="22" t="n">
        <v>44274</v>
      </c>
      <c r="B79" s="23" t="n">
        <v>1.75</v>
      </c>
    </row>
    <row r="80" customFormat="false" ht="15" hidden="false" customHeight="false" outlineLevel="0" collapsed="false">
      <c r="A80" s="22" t="n">
        <v>44275</v>
      </c>
      <c r="B80" s="23" t="n">
        <v>1.75</v>
      </c>
    </row>
    <row r="81" customFormat="false" ht="15" hidden="false" customHeight="false" outlineLevel="0" collapsed="false">
      <c r="A81" s="22" t="n">
        <v>44276</v>
      </c>
      <c r="B81" s="23" t="n">
        <v>1.75</v>
      </c>
    </row>
    <row r="82" customFormat="false" ht="15" hidden="false" customHeight="false" outlineLevel="0" collapsed="false">
      <c r="A82" s="22" t="n">
        <v>44277</v>
      </c>
      <c r="B82" s="23" t="n">
        <v>1.75</v>
      </c>
    </row>
    <row r="83" customFormat="false" ht="15" hidden="false" customHeight="false" outlineLevel="0" collapsed="false">
      <c r="A83" s="22" t="n">
        <v>44278</v>
      </c>
      <c r="B83" s="23" t="n">
        <v>1.75</v>
      </c>
    </row>
    <row r="84" customFormat="false" ht="15" hidden="false" customHeight="false" outlineLevel="0" collapsed="false">
      <c r="A84" s="22" t="n">
        <v>44279</v>
      </c>
      <c r="B84" s="23" t="n">
        <v>1.75</v>
      </c>
    </row>
    <row r="85" customFormat="false" ht="15" hidden="false" customHeight="false" outlineLevel="0" collapsed="false">
      <c r="A85" s="22" t="n">
        <v>44280</v>
      </c>
      <c r="B85" s="23" t="n">
        <v>1.75</v>
      </c>
    </row>
    <row r="86" customFormat="false" ht="15" hidden="false" customHeight="false" outlineLevel="0" collapsed="false">
      <c r="A86" s="22" t="n">
        <v>44281</v>
      </c>
      <c r="B86" s="23" t="n">
        <v>1.75</v>
      </c>
    </row>
    <row r="87" customFormat="false" ht="15" hidden="false" customHeight="false" outlineLevel="0" collapsed="false">
      <c r="A87" s="22" t="n">
        <v>44282</v>
      </c>
      <c r="B87" s="23" t="n">
        <v>1.75</v>
      </c>
    </row>
    <row r="88" customFormat="false" ht="15" hidden="false" customHeight="false" outlineLevel="0" collapsed="false">
      <c r="A88" s="22" t="n">
        <v>44283</v>
      </c>
      <c r="B88" s="23" t="n">
        <v>1.75</v>
      </c>
    </row>
    <row r="89" customFormat="false" ht="15" hidden="false" customHeight="false" outlineLevel="0" collapsed="false">
      <c r="A89" s="22" t="n">
        <v>44284</v>
      </c>
      <c r="B89" s="23" t="n">
        <v>1.75</v>
      </c>
    </row>
    <row r="90" customFormat="false" ht="15" hidden="false" customHeight="false" outlineLevel="0" collapsed="false">
      <c r="A90" s="22" t="n">
        <v>44285</v>
      </c>
      <c r="B90" s="23" t="n">
        <v>1.75</v>
      </c>
    </row>
    <row r="91" customFormat="false" ht="15" hidden="false" customHeight="false" outlineLevel="0" collapsed="false">
      <c r="A91" s="22" t="n">
        <v>44286</v>
      </c>
      <c r="B91" s="23" t="n">
        <v>1.75</v>
      </c>
    </row>
    <row r="92" customFormat="false" ht="15" hidden="false" customHeight="false" outlineLevel="0" collapsed="false">
      <c r="A92" s="22" t="n">
        <v>44287</v>
      </c>
      <c r="B92" s="23" t="n">
        <v>1.75</v>
      </c>
    </row>
    <row r="93" customFormat="false" ht="15" hidden="false" customHeight="false" outlineLevel="0" collapsed="false">
      <c r="A93" s="22" t="n">
        <v>44288</v>
      </c>
      <c r="B93" s="23" t="n">
        <v>1.75</v>
      </c>
    </row>
    <row r="94" customFormat="false" ht="15" hidden="false" customHeight="false" outlineLevel="0" collapsed="false">
      <c r="A94" s="22" t="n">
        <v>44289</v>
      </c>
      <c r="B94" s="23" t="n">
        <v>1.75</v>
      </c>
    </row>
    <row r="95" customFormat="false" ht="15" hidden="false" customHeight="false" outlineLevel="0" collapsed="false">
      <c r="A95" s="22" t="n">
        <v>44290</v>
      </c>
      <c r="B95" s="23" t="n">
        <v>1.75</v>
      </c>
    </row>
    <row r="96" customFormat="false" ht="15" hidden="false" customHeight="false" outlineLevel="0" collapsed="false">
      <c r="A96" s="22" t="n">
        <v>44291</v>
      </c>
      <c r="B96" s="23" t="n">
        <v>1.75</v>
      </c>
    </row>
    <row r="97" customFormat="false" ht="15" hidden="false" customHeight="false" outlineLevel="0" collapsed="false">
      <c r="A97" s="22" t="n">
        <v>44292</v>
      </c>
      <c r="B97" s="23" t="n">
        <v>1.75</v>
      </c>
    </row>
    <row r="98" customFormat="false" ht="15" hidden="false" customHeight="false" outlineLevel="0" collapsed="false">
      <c r="A98" s="22" t="n">
        <v>44293</v>
      </c>
      <c r="B98" s="23" t="n">
        <v>1.75</v>
      </c>
    </row>
    <row r="99" customFormat="false" ht="15" hidden="false" customHeight="false" outlineLevel="0" collapsed="false">
      <c r="A99" s="22" t="n">
        <v>44294</v>
      </c>
      <c r="B99" s="23" t="n">
        <v>1.75</v>
      </c>
    </row>
    <row r="100" customFormat="false" ht="15" hidden="false" customHeight="false" outlineLevel="0" collapsed="false">
      <c r="A100" s="22" t="n">
        <v>44295</v>
      </c>
      <c r="B100" s="23" t="n">
        <v>1.75</v>
      </c>
    </row>
    <row r="101" customFormat="false" ht="15" hidden="false" customHeight="false" outlineLevel="0" collapsed="false">
      <c r="A101" s="22" t="n">
        <v>44296</v>
      </c>
      <c r="B101" s="23" t="n">
        <v>1.75</v>
      </c>
    </row>
    <row r="102" customFormat="false" ht="15" hidden="false" customHeight="false" outlineLevel="0" collapsed="false">
      <c r="A102" s="22" t="n">
        <v>44297</v>
      </c>
      <c r="B102" s="23" t="n">
        <v>1.75</v>
      </c>
    </row>
    <row r="103" customFormat="false" ht="15" hidden="false" customHeight="false" outlineLevel="0" collapsed="false">
      <c r="A103" s="22" t="n">
        <v>44298</v>
      </c>
      <c r="B103" s="23" t="n">
        <v>1.75</v>
      </c>
    </row>
    <row r="104" customFormat="false" ht="15" hidden="false" customHeight="false" outlineLevel="0" collapsed="false">
      <c r="A104" s="22" t="n">
        <v>44299</v>
      </c>
      <c r="B104" s="23" t="n">
        <v>1.75</v>
      </c>
    </row>
    <row r="105" customFormat="false" ht="15" hidden="false" customHeight="false" outlineLevel="0" collapsed="false">
      <c r="A105" s="22" t="n">
        <v>44300</v>
      </c>
      <c r="B105" s="23" t="n">
        <v>1.75</v>
      </c>
    </row>
    <row r="106" customFormat="false" ht="15" hidden="false" customHeight="false" outlineLevel="0" collapsed="false">
      <c r="A106" s="22" t="n">
        <v>44301</v>
      </c>
      <c r="B106" s="23" t="n">
        <v>1.75</v>
      </c>
    </row>
    <row r="107" customFormat="false" ht="15" hidden="false" customHeight="false" outlineLevel="0" collapsed="false">
      <c r="A107" s="22" t="n">
        <v>44302</v>
      </c>
      <c r="B107" s="23" t="n">
        <v>1.75</v>
      </c>
    </row>
    <row r="108" customFormat="false" ht="15" hidden="false" customHeight="false" outlineLevel="0" collapsed="false">
      <c r="A108" s="22" t="n">
        <v>44303</v>
      </c>
      <c r="B108" s="23" t="n">
        <v>1.75</v>
      </c>
    </row>
    <row r="109" customFormat="false" ht="15" hidden="false" customHeight="false" outlineLevel="0" collapsed="false">
      <c r="A109" s="22" t="n">
        <v>44304</v>
      </c>
      <c r="B109" s="23" t="n">
        <v>1.75</v>
      </c>
    </row>
    <row r="110" customFormat="false" ht="15" hidden="false" customHeight="false" outlineLevel="0" collapsed="false">
      <c r="A110" s="22" t="n">
        <v>44305</v>
      </c>
      <c r="B110" s="23" t="n">
        <v>1.75</v>
      </c>
    </row>
    <row r="111" customFormat="false" ht="15" hidden="false" customHeight="false" outlineLevel="0" collapsed="false">
      <c r="A111" s="22" t="n">
        <v>44306</v>
      </c>
      <c r="B111" s="23" t="n">
        <v>1.75</v>
      </c>
    </row>
    <row r="112" customFormat="false" ht="15" hidden="false" customHeight="false" outlineLevel="0" collapsed="false">
      <c r="A112" s="22" t="n">
        <v>44307</v>
      </c>
      <c r="B112" s="23" t="n">
        <v>1.75</v>
      </c>
    </row>
    <row r="113" customFormat="false" ht="15" hidden="false" customHeight="false" outlineLevel="0" collapsed="false">
      <c r="A113" s="22" t="n">
        <v>44308</v>
      </c>
      <c r="B113" s="23" t="n">
        <v>1.75</v>
      </c>
    </row>
    <row r="114" customFormat="false" ht="15" hidden="false" customHeight="false" outlineLevel="0" collapsed="false">
      <c r="A114" s="22" t="n">
        <v>44309</v>
      </c>
      <c r="B114" s="23" t="n">
        <v>1.75</v>
      </c>
    </row>
    <row r="115" customFormat="false" ht="15" hidden="false" customHeight="false" outlineLevel="0" collapsed="false">
      <c r="A115" s="22" t="n">
        <v>44310</v>
      </c>
      <c r="B115" s="23" t="n">
        <v>1.75</v>
      </c>
    </row>
    <row r="116" customFormat="false" ht="15" hidden="false" customHeight="false" outlineLevel="0" collapsed="false">
      <c r="A116" s="22" t="n">
        <v>44311</v>
      </c>
      <c r="B116" s="23" t="n">
        <v>1.75</v>
      </c>
    </row>
    <row r="117" customFormat="false" ht="15" hidden="false" customHeight="false" outlineLevel="0" collapsed="false">
      <c r="A117" s="22" t="n">
        <v>44312</v>
      </c>
      <c r="B117" s="23" t="n">
        <v>1.75</v>
      </c>
    </row>
    <row r="118" customFormat="false" ht="15" hidden="false" customHeight="false" outlineLevel="0" collapsed="false">
      <c r="A118" s="22" t="n">
        <v>44313</v>
      </c>
      <c r="B118" s="23" t="n">
        <v>1.75</v>
      </c>
    </row>
    <row r="119" customFormat="false" ht="15" hidden="false" customHeight="false" outlineLevel="0" collapsed="false">
      <c r="A119" s="22" t="n">
        <v>44314</v>
      </c>
      <c r="B119" s="23" t="n">
        <v>1.75</v>
      </c>
    </row>
    <row r="120" customFormat="false" ht="15" hidden="false" customHeight="false" outlineLevel="0" collapsed="false">
      <c r="A120" s="22" t="n">
        <v>44315</v>
      </c>
      <c r="B120" s="23" t="n">
        <v>1.75</v>
      </c>
    </row>
    <row r="121" customFormat="false" ht="15" hidden="false" customHeight="false" outlineLevel="0" collapsed="false">
      <c r="A121" s="22" t="n">
        <v>44316</v>
      </c>
      <c r="B121" s="23" t="n">
        <v>1.75</v>
      </c>
    </row>
    <row r="122" customFormat="false" ht="15" hidden="false" customHeight="false" outlineLevel="0" collapsed="false">
      <c r="A122" s="22" t="n">
        <v>44317</v>
      </c>
      <c r="B122" s="23" t="n">
        <v>1.75</v>
      </c>
    </row>
    <row r="123" customFormat="false" ht="15" hidden="false" customHeight="false" outlineLevel="0" collapsed="false">
      <c r="A123" s="22" t="n">
        <v>44318</v>
      </c>
      <c r="B123" s="23" t="n">
        <v>1.75</v>
      </c>
    </row>
    <row r="124" customFormat="false" ht="15" hidden="false" customHeight="false" outlineLevel="0" collapsed="false">
      <c r="A124" s="22" t="n">
        <v>44319</v>
      </c>
      <c r="B124" s="23" t="n">
        <v>1.75</v>
      </c>
    </row>
    <row r="125" customFormat="false" ht="15" hidden="false" customHeight="false" outlineLevel="0" collapsed="false">
      <c r="A125" s="22" t="n">
        <v>44320</v>
      </c>
      <c r="B125" s="23" t="n">
        <v>1.75</v>
      </c>
    </row>
    <row r="126" customFormat="false" ht="15" hidden="false" customHeight="false" outlineLevel="0" collapsed="false">
      <c r="A126" s="22" t="n">
        <v>44321</v>
      </c>
      <c r="B126" s="23" t="n">
        <v>1.75</v>
      </c>
    </row>
    <row r="127" customFormat="false" ht="15" hidden="false" customHeight="false" outlineLevel="0" collapsed="false">
      <c r="A127" s="22" t="n">
        <v>44322</v>
      </c>
      <c r="B127" s="23" t="n">
        <v>1.75</v>
      </c>
    </row>
    <row r="128" customFormat="false" ht="15" hidden="false" customHeight="false" outlineLevel="0" collapsed="false">
      <c r="A128" s="22" t="n">
        <v>44323</v>
      </c>
      <c r="B128" s="23" t="n">
        <v>1.75</v>
      </c>
    </row>
    <row r="129" customFormat="false" ht="15" hidden="false" customHeight="false" outlineLevel="0" collapsed="false">
      <c r="A129" s="22" t="n">
        <v>44324</v>
      </c>
      <c r="B129" s="23" t="n">
        <v>1.75</v>
      </c>
    </row>
    <row r="130" customFormat="false" ht="15" hidden="false" customHeight="false" outlineLevel="0" collapsed="false">
      <c r="A130" s="22" t="n">
        <v>44325</v>
      </c>
      <c r="B130" s="23" t="n">
        <v>1.75</v>
      </c>
    </row>
    <row r="131" customFormat="false" ht="15" hidden="false" customHeight="false" outlineLevel="0" collapsed="false">
      <c r="A131" s="22" t="n">
        <v>44326</v>
      </c>
      <c r="B131" s="23" t="n">
        <v>1.75</v>
      </c>
    </row>
    <row r="132" customFormat="false" ht="15" hidden="false" customHeight="false" outlineLevel="0" collapsed="false">
      <c r="A132" s="22" t="n">
        <v>44327</v>
      </c>
      <c r="B132" s="23" t="n">
        <v>1.75</v>
      </c>
    </row>
    <row r="133" customFormat="false" ht="15" hidden="false" customHeight="false" outlineLevel="0" collapsed="false">
      <c r="A133" s="22" t="n">
        <v>44328</v>
      </c>
      <c r="B133" s="23" t="n">
        <v>1.75</v>
      </c>
    </row>
    <row r="134" customFormat="false" ht="15" hidden="false" customHeight="false" outlineLevel="0" collapsed="false">
      <c r="A134" s="22" t="n">
        <v>44329</v>
      </c>
      <c r="B134" s="23" t="n">
        <v>1.75</v>
      </c>
    </row>
    <row r="135" customFormat="false" ht="15" hidden="false" customHeight="false" outlineLevel="0" collapsed="false">
      <c r="A135" s="22" t="n">
        <v>44330</v>
      </c>
      <c r="B135" s="23" t="n">
        <v>1.75</v>
      </c>
    </row>
    <row r="136" customFormat="false" ht="15" hidden="false" customHeight="false" outlineLevel="0" collapsed="false">
      <c r="A136" s="22" t="n">
        <v>44331</v>
      </c>
      <c r="B136" s="23" t="n">
        <v>1.75</v>
      </c>
    </row>
    <row r="137" customFormat="false" ht="15" hidden="false" customHeight="false" outlineLevel="0" collapsed="false">
      <c r="A137" s="22" t="n">
        <v>44332</v>
      </c>
      <c r="B137" s="23" t="n">
        <v>1.75</v>
      </c>
    </row>
    <row r="138" customFormat="false" ht="15" hidden="false" customHeight="false" outlineLevel="0" collapsed="false">
      <c r="A138" s="22" t="n">
        <v>44333</v>
      </c>
      <c r="B138" s="23" t="n">
        <v>1.75</v>
      </c>
    </row>
    <row r="139" customFormat="false" ht="15" hidden="false" customHeight="false" outlineLevel="0" collapsed="false">
      <c r="A139" s="22" t="n">
        <v>44334</v>
      </c>
      <c r="B139" s="23" t="n">
        <v>1.75</v>
      </c>
    </row>
    <row r="140" customFormat="false" ht="15" hidden="false" customHeight="false" outlineLevel="0" collapsed="false">
      <c r="A140" s="22" t="n">
        <v>44335</v>
      </c>
      <c r="B140" s="23" t="n">
        <v>1.75</v>
      </c>
    </row>
    <row r="141" customFormat="false" ht="15" hidden="false" customHeight="false" outlineLevel="0" collapsed="false">
      <c r="A141" s="22" t="n">
        <v>44336</v>
      </c>
      <c r="B141" s="23" t="n">
        <v>1.75</v>
      </c>
    </row>
    <row r="142" customFormat="false" ht="15" hidden="false" customHeight="false" outlineLevel="0" collapsed="false">
      <c r="A142" s="22" t="n">
        <v>44337</v>
      </c>
      <c r="B142" s="23" t="n">
        <v>1.75</v>
      </c>
    </row>
    <row r="143" customFormat="false" ht="15" hidden="false" customHeight="false" outlineLevel="0" collapsed="false">
      <c r="A143" s="22" t="n">
        <v>44338</v>
      </c>
      <c r="B143" s="23" t="n">
        <v>1.75</v>
      </c>
    </row>
    <row r="144" customFormat="false" ht="15" hidden="false" customHeight="false" outlineLevel="0" collapsed="false">
      <c r="A144" s="22" t="n">
        <v>44339</v>
      </c>
      <c r="B144" s="23" t="n">
        <v>1.75</v>
      </c>
    </row>
    <row r="145" customFormat="false" ht="15" hidden="false" customHeight="false" outlineLevel="0" collapsed="false">
      <c r="A145" s="22" t="n">
        <v>44340</v>
      </c>
      <c r="B145" s="23" t="n">
        <v>1.75</v>
      </c>
    </row>
    <row r="146" customFormat="false" ht="15" hidden="false" customHeight="false" outlineLevel="0" collapsed="false">
      <c r="A146" s="22" t="n">
        <v>44341</v>
      </c>
      <c r="B146" s="23" t="n">
        <v>1.75</v>
      </c>
    </row>
    <row r="147" customFormat="false" ht="15" hidden="false" customHeight="false" outlineLevel="0" collapsed="false">
      <c r="A147" s="22" t="n">
        <v>44342</v>
      </c>
      <c r="B147" s="23" t="n">
        <v>1.75</v>
      </c>
    </row>
    <row r="148" customFormat="false" ht="15" hidden="false" customHeight="false" outlineLevel="0" collapsed="false">
      <c r="A148" s="22" t="n">
        <v>44343</v>
      </c>
      <c r="B148" s="23" t="n">
        <v>1.75</v>
      </c>
    </row>
    <row r="149" customFormat="false" ht="15" hidden="false" customHeight="false" outlineLevel="0" collapsed="false">
      <c r="A149" s="22" t="n">
        <v>44344</v>
      </c>
      <c r="B149" s="23" t="n">
        <v>1.75</v>
      </c>
    </row>
    <row r="150" customFormat="false" ht="15" hidden="false" customHeight="false" outlineLevel="0" collapsed="false">
      <c r="A150" s="22" t="n">
        <v>44345</v>
      </c>
      <c r="B150" s="23" t="n">
        <v>1.75</v>
      </c>
    </row>
    <row r="151" customFormat="false" ht="15" hidden="false" customHeight="false" outlineLevel="0" collapsed="false">
      <c r="A151" s="22" t="n">
        <v>44346</v>
      </c>
      <c r="B151" s="23" t="n">
        <v>1.75</v>
      </c>
    </row>
    <row r="152" customFormat="false" ht="15" hidden="false" customHeight="false" outlineLevel="0" collapsed="false">
      <c r="A152" s="22" t="n">
        <v>44347</v>
      </c>
      <c r="B152" s="23" t="n">
        <v>1.75</v>
      </c>
    </row>
    <row r="153" customFormat="false" ht="15" hidden="false" customHeight="false" outlineLevel="0" collapsed="false">
      <c r="A153" s="22" t="n">
        <v>44348</v>
      </c>
      <c r="B153" s="23" t="n">
        <v>1.75</v>
      </c>
    </row>
    <row r="154" customFormat="false" ht="15" hidden="false" customHeight="false" outlineLevel="0" collapsed="false">
      <c r="A154" s="22" t="n">
        <v>44349</v>
      </c>
      <c r="B154" s="23" t="n">
        <v>1.75</v>
      </c>
    </row>
    <row r="155" customFormat="false" ht="15" hidden="false" customHeight="false" outlineLevel="0" collapsed="false">
      <c r="A155" s="22" t="n">
        <v>44350</v>
      </c>
      <c r="B155" s="23" t="n">
        <v>1.75</v>
      </c>
    </row>
    <row r="156" customFormat="false" ht="15" hidden="false" customHeight="false" outlineLevel="0" collapsed="false">
      <c r="A156" s="22" t="n">
        <v>44351</v>
      </c>
      <c r="B156" s="23" t="n">
        <v>1.75</v>
      </c>
    </row>
    <row r="157" customFormat="false" ht="15" hidden="false" customHeight="false" outlineLevel="0" collapsed="false">
      <c r="A157" s="22" t="n">
        <v>44352</v>
      </c>
      <c r="B157" s="23" t="n">
        <v>1.75</v>
      </c>
    </row>
    <row r="158" customFormat="false" ht="15" hidden="false" customHeight="false" outlineLevel="0" collapsed="false">
      <c r="A158" s="22" t="n">
        <v>44353</v>
      </c>
      <c r="B158" s="23" t="n">
        <v>1.75</v>
      </c>
    </row>
    <row r="159" customFormat="false" ht="15" hidden="false" customHeight="false" outlineLevel="0" collapsed="false">
      <c r="A159" s="22" t="n">
        <v>44354</v>
      </c>
      <c r="B159" s="23" t="n">
        <v>1.75</v>
      </c>
    </row>
    <row r="160" customFormat="false" ht="15" hidden="false" customHeight="false" outlineLevel="0" collapsed="false">
      <c r="A160" s="22" t="n">
        <v>44355</v>
      </c>
      <c r="B160" s="23" t="n">
        <v>1.75</v>
      </c>
    </row>
    <row r="161" customFormat="false" ht="15" hidden="false" customHeight="false" outlineLevel="0" collapsed="false">
      <c r="A161" s="22" t="n">
        <v>44356</v>
      </c>
      <c r="B161" s="23" t="n">
        <v>1.75</v>
      </c>
    </row>
    <row r="162" customFormat="false" ht="15" hidden="false" customHeight="false" outlineLevel="0" collapsed="false">
      <c r="A162" s="22" t="n">
        <v>44357</v>
      </c>
      <c r="B162" s="23" t="n">
        <v>1.75</v>
      </c>
    </row>
    <row r="163" customFormat="false" ht="15" hidden="false" customHeight="false" outlineLevel="0" collapsed="false">
      <c r="A163" s="22" t="n">
        <v>44358</v>
      </c>
      <c r="B163" s="23" t="n">
        <v>1.75</v>
      </c>
    </row>
    <row r="164" customFormat="false" ht="15" hidden="false" customHeight="false" outlineLevel="0" collapsed="false">
      <c r="A164" s="22" t="n">
        <v>44359</v>
      </c>
      <c r="B164" s="23" t="n">
        <v>1.75</v>
      </c>
    </row>
    <row r="165" customFormat="false" ht="15" hidden="false" customHeight="false" outlineLevel="0" collapsed="false">
      <c r="A165" s="22" t="n">
        <v>44360</v>
      </c>
      <c r="B165" s="23" t="n">
        <v>1.75</v>
      </c>
    </row>
    <row r="166" customFormat="false" ht="15" hidden="false" customHeight="false" outlineLevel="0" collapsed="false">
      <c r="A166" s="22" t="n">
        <v>44361</v>
      </c>
      <c r="B166" s="23" t="n">
        <v>1.75</v>
      </c>
    </row>
    <row r="167" customFormat="false" ht="15" hidden="false" customHeight="false" outlineLevel="0" collapsed="false">
      <c r="A167" s="22" t="n">
        <v>44362</v>
      </c>
      <c r="B167" s="23" t="n">
        <v>1.75</v>
      </c>
    </row>
    <row r="168" customFormat="false" ht="15" hidden="false" customHeight="false" outlineLevel="0" collapsed="false">
      <c r="A168" s="22" t="n">
        <v>44363</v>
      </c>
      <c r="B168" s="23" t="n">
        <v>1.75</v>
      </c>
    </row>
    <row r="169" customFormat="false" ht="15" hidden="false" customHeight="false" outlineLevel="0" collapsed="false">
      <c r="A169" s="22" t="n">
        <v>44364</v>
      </c>
      <c r="B169" s="23" t="n">
        <v>1.75</v>
      </c>
    </row>
    <row r="170" customFormat="false" ht="15" hidden="false" customHeight="false" outlineLevel="0" collapsed="false">
      <c r="A170" s="22" t="n">
        <v>44365</v>
      </c>
      <c r="B170" s="23" t="n">
        <v>1.75</v>
      </c>
    </row>
    <row r="171" customFormat="false" ht="15" hidden="false" customHeight="false" outlineLevel="0" collapsed="false">
      <c r="A171" s="22" t="n">
        <v>44366</v>
      </c>
      <c r="B171" s="23" t="n">
        <v>1.75</v>
      </c>
    </row>
    <row r="172" customFormat="false" ht="15" hidden="false" customHeight="false" outlineLevel="0" collapsed="false">
      <c r="A172" s="22" t="n">
        <v>44367</v>
      </c>
      <c r="B172" s="23" t="n">
        <v>1.75</v>
      </c>
    </row>
    <row r="173" customFormat="false" ht="15" hidden="false" customHeight="false" outlineLevel="0" collapsed="false">
      <c r="A173" s="22" t="n">
        <v>44368</v>
      </c>
      <c r="B173" s="23" t="n">
        <v>1.75</v>
      </c>
    </row>
    <row r="174" customFormat="false" ht="15" hidden="false" customHeight="false" outlineLevel="0" collapsed="false">
      <c r="A174" s="22" t="n">
        <v>44369</v>
      </c>
      <c r="B174" s="23" t="n">
        <v>1.75</v>
      </c>
    </row>
    <row r="175" customFormat="false" ht="15" hidden="false" customHeight="false" outlineLevel="0" collapsed="false">
      <c r="A175" s="22" t="n">
        <v>44370</v>
      </c>
      <c r="B175" s="23" t="n">
        <v>1.75</v>
      </c>
    </row>
    <row r="176" customFormat="false" ht="15" hidden="false" customHeight="false" outlineLevel="0" collapsed="false">
      <c r="A176" s="22" t="n">
        <v>44371</v>
      </c>
      <c r="B176" s="23" t="n">
        <v>1.75</v>
      </c>
    </row>
    <row r="177" customFormat="false" ht="15" hidden="false" customHeight="false" outlineLevel="0" collapsed="false">
      <c r="A177" s="22" t="n">
        <v>44372</v>
      </c>
      <c r="B177" s="23" t="n">
        <v>1.75</v>
      </c>
    </row>
    <row r="178" customFormat="false" ht="15" hidden="false" customHeight="false" outlineLevel="0" collapsed="false">
      <c r="A178" s="22" t="n">
        <v>44373</v>
      </c>
      <c r="B178" s="23" t="n">
        <v>1.75</v>
      </c>
    </row>
    <row r="179" customFormat="false" ht="15" hidden="false" customHeight="false" outlineLevel="0" collapsed="false">
      <c r="A179" s="22" t="n">
        <v>44374</v>
      </c>
      <c r="B179" s="23" t="n">
        <v>1.75</v>
      </c>
    </row>
    <row r="180" customFormat="false" ht="15" hidden="false" customHeight="false" outlineLevel="0" collapsed="false">
      <c r="A180" s="22" t="n">
        <v>44375</v>
      </c>
      <c r="B180" s="23" t="n">
        <v>1.75</v>
      </c>
    </row>
    <row r="181" customFormat="false" ht="15" hidden="false" customHeight="false" outlineLevel="0" collapsed="false">
      <c r="A181" s="22" t="n">
        <v>44376</v>
      </c>
      <c r="B181" s="23" t="n">
        <v>1.75</v>
      </c>
    </row>
    <row r="182" customFormat="false" ht="15" hidden="false" customHeight="false" outlineLevel="0" collapsed="false">
      <c r="A182" s="22" t="n">
        <v>44377</v>
      </c>
      <c r="B182" s="23" t="n">
        <v>1.75</v>
      </c>
    </row>
    <row r="183" customFormat="false" ht="15" hidden="false" customHeight="false" outlineLevel="0" collapsed="false">
      <c r="A183" s="22" t="n">
        <v>44378</v>
      </c>
      <c r="B183" s="23" t="n">
        <v>1.75</v>
      </c>
    </row>
    <row r="184" customFormat="false" ht="15" hidden="false" customHeight="false" outlineLevel="0" collapsed="false">
      <c r="A184" s="22" t="n">
        <v>44379</v>
      </c>
      <c r="B184" s="23" t="n">
        <v>1.75</v>
      </c>
    </row>
    <row r="185" customFormat="false" ht="15" hidden="false" customHeight="false" outlineLevel="0" collapsed="false">
      <c r="A185" s="22" t="n">
        <v>44380</v>
      </c>
      <c r="B185" s="23" t="n">
        <v>1.75</v>
      </c>
    </row>
    <row r="186" customFormat="false" ht="15" hidden="false" customHeight="false" outlineLevel="0" collapsed="false">
      <c r="A186" s="22" t="n">
        <v>44381</v>
      </c>
      <c r="B186" s="23" t="n">
        <v>1.75</v>
      </c>
    </row>
    <row r="187" customFormat="false" ht="15" hidden="false" customHeight="false" outlineLevel="0" collapsed="false">
      <c r="A187" s="22" t="n">
        <v>44382</v>
      </c>
      <c r="B187" s="23" t="n">
        <v>1.75</v>
      </c>
    </row>
    <row r="188" customFormat="false" ht="15" hidden="false" customHeight="false" outlineLevel="0" collapsed="false">
      <c r="A188" s="22" t="n">
        <v>44383</v>
      </c>
      <c r="B188" s="23" t="n">
        <v>1.75</v>
      </c>
    </row>
    <row r="189" customFormat="false" ht="15" hidden="false" customHeight="false" outlineLevel="0" collapsed="false">
      <c r="A189" s="22" t="n">
        <v>44384</v>
      </c>
      <c r="B189" s="23" t="n">
        <v>1.75</v>
      </c>
    </row>
    <row r="190" customFormat="false" ht="15" hidden="false" customHeight="false" outlineLevel="0" collapsed="false">
      <c r="A190" s="22" t="n">
        <v>44385</v>
      </c>
      <c r="B190" s="23" t="n">
        <v>1.75</v>
      </c>
    </row>
    <row r="191" customFormat="false" ht="15" hidden="false" customHeight="false" outlineLevel="0" collapsed="false">
      <c r="A191" s="22" t="n">
        <v>44386</v>
      </c>
      <c r="B191" s="23" t="n">
        <v>1.75</v>
      </c>
    </row>
    <row r="192" customFormat="false" ht="15" hidden="false" customHeight="false" outlineLevel="0" collapsed="false">
      <c r="A192" s="22" t="n">
        <v>44387</v>
      </c>
      <c r="B192" s="23" t="n">
        <v>1.75</v>
      </c>
    </row>
    <row r="193" customFormat="false" ht="15" hidden="false" customHeight="false" outlineLevel="0" collapsed="false">
      <c r="A193" s="22" t="n">
        <v>44388</v>
      </c>
      <c r="B193" s="23" t="n">
        <v>1.75</v>
      </c>
    </row>
    <row r="194" customFormat="false" ht="15" hidden="false" customHeight="false" outlineLevel="0" collapsed="false">
      <c r="A194" s="22" t="n">
        <v>44389</v>
      </c>
      <c r="B194" s="23" t="n">
        <v>1.75</v>
      </c>
    </row>
    <row r="195" customFormat="false" ht="15" hidden="false" customHeight="false" outlineLevel="0" collapsed="false">
      <c r="A195" s="22" t="n">
        <v>44390</v>
      </c>
      <c r="B195" s="23" t="n">
        <v>1.75</v>
      </c>
    </row>
    <row r="196" customFormat="false" ht="15" hidden="false" customHeight="false" outlineLevel="0" collapsed="false">
      <c r="A196" s="22" t="n">
        <v>44391</v>
      </c>
      <c r="B196" s="23" t="n">
        <v>1.75</v>
      </c>
    </row>
    <row r="197" customFormat="false" ht="15" hidden="false" customHeight="false" outlineLevel="0" collapsed="false">
      <c r="A197" s="22" t="n">
        <v>44392</v>
      </c>
      <c r="B197" s="23" t="n">
        <v>1.75</v>
      </c>
    </row>
    <row r="198" customFormat="false" ht="15" hidden="false" customHeight="false" outlineLevel="0" collapsed="false">
      <c r="A198" s="22" t="n">
        <v>44393</v>
      </c>
      <c r="B198" s="23" t="n">
        <v>1.75</v>
      </c>
    </row>
    <row r="199" customFormat="false" ht="15" hidden="false" customHeight="false" outlineLevel="0" collapsed="false">
      <c r="A199" s="22" t="n">
        <v>44394</v>
      </c>
      <c r="B199" s="23" t="n">
        <v>1.75</v>
      </c>
    </row>
    <row r="200" customFormat="false" ht="15" hidden="false" customHeight="false" outlineLevel="0" collapsed="false">
      <c r="A200" s="22" t="n">
        <v>44395</v>
      </c>
      <c r="B200" s="23" t="n">
        <v>1.75</v>
      </c>
    </row>
    <row r="201" customFormat="false" ht="15" hidden="false" customHeight="false" outlineLevel="0" collapsed="false">
      <c r="A201" s="22" t="n">
        <v>44396</v>
      </c>
      <c r="B201" s="23" t="n">
        <v>1.75</v>
      </c>
    </row>
    <row r="202" customFormat="false" ht="15" hidden="false" customHeight="false" outlineLevel="0" collapsed="false">
      <c r="A202" s="22" t="n">
        <v>44397</v>
      </c>
      <c r="B202" s="23" t="n">
        <v>1.75</v>
      </c>
    </row>
    <row r="203" customFormat="false" ht="15" hidden="false" customHeight="false" outlineLevel="0" collapsed="false">
      <c r="A203" s="22" t="n">
        <v>44398</v>
      </c>
      <c r="B203" s="23" t="n">
        <v>1.75</v>
      </c>
    </row>
    <row r="204" customFormat="false" ht="15" hidden="false" customHeight="false" outlineLevel="0" collapsed="false">
      <c r="A204" s="22" t="n">
        <v>44399</v>
      </c>
      <c r="B204" s="23" t="n">
        <v>1.75</v>
      </c>
    </row>
    <row r="205" customFormat="false" ht="15" hidden="false" customHeight="false" outlineLevel="0" collapsed="false">
      <c r="A205" s="22" t="n">
        <v>44400</v>
      </c>
      <c r="B205" s="23" t="n">
        <v>1.75</v>
      </c>
    </row>
    <row r="206" customFormat="false" ht="15" hidden="false" customHeight="false" outlineLevel="0" collapsed="false">
      <c r="A206" s="22" t="n">
        <v>44401</v>
      </c>
      <c r="B206" s="23" t="n">
        <v>1.75</v>
      </c>
    </row>
    <row r="207" customFormat="false" ht="15" hidden="false" customHeight="false" outlineLevel="0" collapsed="false">
      <c r="A207" s="22" t="n">
        <v>44402</v>
      </c>
      <c r="B207" s="23" t="n">
        <v>1.75</v>
      </c>
    </row>
    <row r="208" customFormat="false" ht="15" hidden="false" customHeight="false" outlineLevel="0" collapsed="false">
      <c r="A208" s="22" t="n">
        <v>44403</v>
      </c>
      <c r="B208" s="23" t="n">
        <v>1.75</v>
      </c>
    </row>
    <row r="209" customFormat="false" ht="15" hidden="false" customHeight="false" outlineLevel="0" collapsed="false">
      <c r="A209" s="22" t="n">
        <v>44404</v>
      </c>
      <c r="B209" s="23" t="n">
        <v>1.75</v>
      </c>
    </row>
    <row r="210" customFormat="false" ht="15" hidden="false" customHeight="false" outlineLevel="0" collapsed="false">
      <c r="A210" s="22" t="n">
        <v>44405</v>
      </c>
      <c r="B210" s="23" t="n">
        <v>1.75</v>
      </c>
    </row>
    <row r="211" customFormat="false" ht="15" hidden="false" customHeight="false" outlineLevel="0" collapsed="false">
      <c r="A211" s="22" t="n">
        <v>44406</v>
      </c>
      <c r="B211" s="23" t="n">
        <v>1.75</v>
      </c>
    </row>
    <row r="212" customFormat="false" ht="15" hidden="false" customHeight="false" outlineLevel="0" collapsed="false">
      <c r="A212" s="22" t="n">
        <v>44407</v>
      </c>
      <c r="B212" s="23" t="n">
        <v>1.75</v>
      </c>
    </row>
    <row r="213" customFormat="false" ht="15" hidden="false" customHeight="false" outlineLevel="0" collapsed="false">
      <c r="A213" s="22" t="n">
        <v>44408</v>
      </c>
      <c r="B213" s="23" t="n">
        <v>1.75</v>
      </c>
    </row>
    <row r="214" customFormat="false" ht="15" hidden="false" customHeight="false" outlineLevel="0" collapsed="false">
      <c r="A214" s="22" t="n">
        <v>44409</v>
      </c>
      <c r="B214" s="23" t="n">
        <v>1.75</v>
      </c>
    </row>
    <row r="215" customFormat="false" ht="15" hidden="false" customHeight="false" outlineLevel="0" collapsed="false">
      <c r="A215" s="22" t="n">
        <v>44410</v>
      </c>
      <c r="B215" s="23" t="n">
        <v>1.75</v>
      </c>
    </row>
    <row r="216" customFormat="false" ht="15" hidden="false" customHeight="false" outlineLevel="0" collapsed="false">
      <c r="A216" s="22" t="n">
        <v>44411</v>
      </c>
      <c r="B216" s="23" t="n">
        <v>1.75</v>
      </c>
    </row>
    <row r="217" customFormat="false" ht="15" hidden="false" customHeight="false" outlineLevel="0" collapsed="false">
      <c r="A217" s="22" t="n">
        <v>44412</v>
      </c>
      <c r="B217" s="23" t="n">
        <v>1.75</v>
      </c>
    </row>
    <row r="218" customFormat="false" ht="15" hidden="false" customHeight="false" outlineLevel="0" collapsed="false">
      <c r="A218" s="22" t="n">
        <v>44413</v>
      </c>
      <c r="B218" s="23" t="n">
        <v>1.75</v>
      </c>
    </row>
    <row r="219" customFormat="false" ht="15" hidden="false" customHeight="false" outlineLevel="0" collapsed="false">
      <c r="A219" s="22" t="n">
        <v>44414</v>
      </c>
      <c r="B219" s="23" t="n">
        <v>1.75</v>
      </c>
    </row>
    <row r="220" customFormat="false" ht="15" hidden="false" customHeight="false" outlineLevel="0" collapsed="false">
      <c r="A220" s="22" t="n">
        <v>44415</v>
      </c>
      <c r="B220" s="23" t="n">
        <v>1.75</v>
      </c>
    </row>
    <row r="221" customFormat="false" ht="15" hidden="false" customHeight="false" outlineLevel="0" collapsed="false">
      <c r="A221" s="22" t="n">
        <v>44416</v>
      </c>
      <c r="B221" s="23" t="n">
        <v>1.75</v>
      </c>
    </row>
    <row r="222" customFormat="false" ht="15" hidden="false" customHeight="false" outlineLevel="0" collapsed="false">
      <c r="A222" s="22" t="n">
        <v>44417</v>
      </c>
      <c r="B222" s="23" t="n">
        <v>1.75</v>
      </c>
    </row>
    <row r="223" customFormat="false" ht="15" hidden="false" customHeight="false" outlineLevel="0" collapsed="false">
      <c r="A223" s="22" t="n">
        <v>44418</v>
      </c>
      <c r="B223" s="23" t="n">
        <v>1.75</v>
      </c>
    </row>
    <row r="224" customFormat="false" ht="15" hidden="false" customHeight="false" outlineLevel="0" collapsed="false">
      <c r="A224" s="22" t="n">
        <v>44419</v>
      </c>
      <c r="B224" s="23" t="n">
        <v>1.75</v>
      </c>
    </row>
    <row r="225" customFormat="false" ht="15" hidden="false" customHeight="false" outlineLevel="0" collapsed="false">
      <c r="A225" s="22" t="n">
        <v>44420</v>
      </c>
      <c r="B225" s="23" t="n">
        <v>1.75</v>
      </c>
    </row>
    <row r="226" customFormat="false" ht="15" hidden="false" customHeight="false" outlineLevel="0" collapsed="false">
      <c r="A226" s="22" t="n">
        <v>44421</v>
      </c>
      <c r="B226" s="23" t="n">
        <v>1.75</v>
      </c>
    </row>
    <row r="227" customFormat="false" ht="15" hidden="false" customHeight="false" outlineLevel="0" collapsed="false">
      <c r="A227" s="22" t="n">
        <v>44422</v>
      </c>
      <c r="B227" s="23" t="n">
        <v>1.75</v>
      </c>
    </row>
    <row r="228" customFormat="false" ht="15" hidden="false" customHeight="false" outlineLevel="0" collapsed="false">
      <c r="A228" s="22" t="n">
        <v>44423</v>
      </c>
      <c r="B228" s="23" t="n">
        <v>1.75</v>
      </c>
    </row>
    <row r="229" customFormat="false" ht="15" hidden="false" customHeight="false" outlineLevel="0" collapsed="false">
      <c r="A229" s="22" t="n">
        <v>44424</v>
      </c>
      <c r="B229" s="23" t="n">
        <v>1.75</v>
      </c>
    </row>
    <row r="230" customFormat="false" ht="15" hidden="false" customHeight="false" outlineLevel="0" collapsed="false">
      <c r="A230" s="22" t="n">
        <v>44425</v>
      </c>
      <c r="B230" s="23" t="n">
        <v>1.75</v>
      </c>
    </row>
    <row r="231" customFormat="false" ht="15" hidden="false" customHeight="false" outlineLevel="0" collapsed="false">
      <c r="A231" s="22" t="n">
        <v>44426</v>
      </c>
      <c r="B231" s="23" t="n">
        <v>1.75</v>
      </c>
    </row>
    <row r="232" customFormat="false" ht="15" hidden="false" customHeight="false" outlineLevel="0" collapsed="false">
      <c r="A232" s="22" t="n">
        <v>44427</v>
      </c>
      <c r="B232" s="23" t="n">
        <v>1.75</v>
      </c>
    </row>
    <row r="233" customFormat="false" ht="15" hidden="false" customHeight="false" outlineLevel="0" collapsed="false">
      <c r="A233" s="22" t="n">
        <v>44428</v>
      </c>
      <c r="B233" s="23" t="n">
        <v>1.75</v>
      </c>
    </row>
    <row r="234" customFormat="false" ht="15" hidden="false" customHeight="false" outlineLevel="0" collapsed="false">
      <c r="A234" s="22" t="n">
        <v>44429</v>
      </c>
      <c r="B234" s="23" t="n">
        <v>1.75</v>
      </c>
    </row>
    <row r="235" customFormat="false" ht="15" hidden="false" customHeight="false" outlineLevel="0" collapsed="false">
      <c r="A235" s="22" t="n">
        <v>44430</v>
      </c>
      <c r="B235" s="23" t="n">
        <v>1.75</v>
      </c>
    </row>
    <row r="236" customFormat="false" ht="15" hidden="false" customHeight="false" outlineLevel="0" collapsed="false">
      <c r="A236" s="22" t="n">
        <v>44431</v>
      </c>
      <c r="B236" s="23" t="n">
        <v>1.75</v>
      </c>
    </row>
    <row r="237" customFormat="false" ht="15" hidden="false" customHeight="false" outlineLevel="0" collapsed="false">
      <c r="A237" s="22" t="n">
        <v>44432</v>
      </c>
      <c r="B237" s="23" t="n">
        <v>1.75</v>
      </c>
    </row>
    <row r="238" customFormat="false" ht="15" hidden="false" customHeight="false" outlineLevel="0" collapsed="false">
      <c r="A238" s="22" t="n">
        <v>44433</v>
      </c>
      <c r="B238" s="23" t="n">
        <v>1.75</v>
      </c>
    </row>
    <row r="239" customFormat="false" ht="15" hidden="false" customHeight="false" outlineLevel="0" collapsed="false">
      <c r="A239" s="22" t="n">
        <v>44434</v>
      </c>
      <c r="B239" s="23" t="n">
        <v>1.75</v>
      </c>
    </row>
    <row r="240" customFormat="false" ht="15" hidden="false" customHeight="false" outlineLevel="0" collapsed="false">
      <c r="A240" s="22" t="n">
        <v>44435</v>
      </c>
      <c r="B240" s="23" t="n">
        <v>1.75</v>
      </c>
    </row>
    <row r="241" customFormat="false" ht="15" hidden="false" customHeight="false" outlineLevel="0" collapsed="false">
      <c r="A241" s="22" t="n">
        <v>44436</v>
      </c>
      <c r="B241" s="23" t="n">
        <v>1.75</v>
      </c>
    </row>
    <row r="242" customFormat="false" ht="15" hidden="false" customHeight="false" outlineLevel="0" collapsed="false">
      <c r="A242" s="22" t="n">
        <v>44437</v>
      </c>
      <c r="B242" s="23" t="n">
        <v>1.75</v>
      </c>
    </row>
    <row r="243" customFormat="false" ht="15" hidden="false" customHeight="false" outlineLevel="0" collapsed="false">
      <c r="A243" s="22" t="n">
        <v>44438</v>
      </c>
      <c r="B243" s="23" t="n">
        <v>1.75</v>
      </c>
    </row>
    <row r="244" customFormat="false" ht="15" hidden="false" customHeight="false" outlineLevel="0" collapsed="false">
      <c r="A244" s="22" t="n">
        <v>44439</v>
      </c>
      <c r="B244" s="23" t="n">
        <v>1.75</v>
      </c>
    </row>
    <row r="245" customFormat="false" ht="15" hidden="false" customHeight="false" outlineLevel="0" collapsed="false">
      <c r="A245" s="22" t="n">
        <v>44440</v>
      </c>
      <c r="B245" s="23" t="n">
        <v>1.75</v>
      </c>
    </row>
    <row r="246" customFormat="false" ht="15" hidden="false" customHeight="false" outlineLevel="0" collapsed="false">
      <c r="A246" s="22" t="n">
        <v>44441</v>
      </c>
      <c r="B246" s="23" t="n">
        <v>1.75</v>
      </c>
    </row>
    <row r="247" customFormat="false" ht="15" hidden="false" customHeight="false" outlineLevel="0" collapsed="false">
      <c r="A247" s="22" t="n">
        <v>44442</v>
      </c>
      <c r="B247" s="23" t="n">
        <v>1.75</v>
      </c>
    </row>
    <row r="248" customFormat="false" ht="15" hidden="false" customHeight="false" outlineLevel="0" collapsed="false">
      <c r="A248" s="22" t="n">
        <v>44443</v>
      </c>
      <c r="B248" s="23" t="n">
        <v>1.75</v>
      </c>
    </row>
    <row r="249" customFormat="false" ht="15" hidden="false" customHeight="false" outlineLevel="0" collapsed="false">
      <c r="A249" s="22" t="n">
        <v>44444</v>
      </c>
      <c r="B249" s="23" t="n">
        <v>1.75</v>
      </c>
    </row>
    <row r="250" customFormat="false" ht="15" hidden="false" customHeight="false" outlineLevel="0" collapsed="false">
      <c r="A250" s="22" t="n">
        <v>44445</v>
      </c>
      <c r="B250" s="23" t="n">
        <v>1.75</v>
      </c>
    </row>
    <row r="251" customFormat="false" ht="15" hidden="false" customHeight="false" outlineLevel="0" collapsed="false">
      <c r="A251" s="22" t="n">
        <v>44446</v>
      </c>
      <c r="B251" s="23" t="n">
        <v>1.75</v>
      </c>
    </row>
    <row r="252" customFormat="false" ht="15" hidden="false" customHeight="false" outlineLevel="0" collapsed="false">
      <c r="A252" s="22" t="n">
        <v>44447</v>
      </c>
      <c r="B252" s="23" t="n">
        <v>1.75</v>
      </c>
    </row>
    <row r="253" customFormat="false" ht="15" hidden="false" customHeight="false" outlineLevel="0" collapsed="false">
      <c r="A253" s="22" t="n">
        <v>44448</v>
      </c>
      <c r="B253" s="23" t="n">
        <v>1.75</v>
      </c>
    </row>
    <row r="254" customFormat="false" ht="15" hidden="false" customHeight="false" outlineLevel="0" collapsed="false">
      <c r="A254" s="22" t="n">
        <v>44449</v>
      </c>
      <c r="B254" s="23" t="n">
        <v>1.75</v>
      </c>
    </row>
    <row r="255" customFormat="false" ht="15" hidden="false" customHeight="false" outlineLevel="0" collapsed="false">
      <c r="A255" s="22" t="n">
        <v>44450</v>
      </c>
      <c r="B255" s="23" t="n">
        <v>1.75</v>
      </c>
    </row>
    <row r="256" customFormat="false" ht="15" hidden="false" customHeight="false" outlineLevel="0" collapsed="false">
      <c r="A256" s="22" t="n">
        <v>44451</v>
      </c>
      <c r="B256" s="23" t="n">
        <v>1.75</v>
      </c>
    </row>
    <row r="257" customFormat="false" ht="15" hidden="false" customHeight="false" outlineLevel="0" collapsed="false">
      <c r="A257" s="22" t="n">
        <v>44452</v>
      </c>
      <c r="B257" s="23" t="n">
        <v>1.75</v>
      </c>
    </row>
    <row r="258" customFormat="false" ht="15" hidden="false" customHeight="false" outlineLevel="0" collapsed="false">
      <c r="A258" s="22" t="n">
        <v>44453</v>
      </c>
      <c r="B258" s="23" t="n">
        <v>1.75</v>
      </c>
    </row>
    <row r="259" customFormat="false" ht="15" hidden="false" customHeight="false" outlineLevel="0" collapsed="false">
      <c r="A259" s="22" t="n">
        <v>44454</v>
      </c>
      <c r="B259" s="23" t="n">
        <v>1.75</v>
      </c>
    </row>
    <row r="260" customFormat="false" ht="15" hidden="false" customHeight="false" outlineLevel="0" collapsed="false">
      <c r="A260" s="22" t="n">
        <v>44455</v>
      </c>
      <c r="B260" s="23" t="n">
        <v>1.75</v>
      </c>
    </row>
    <row r="261" customFormat="false" ht="15" hidden="false" customHeight="false" outlineLevel="0" collapsed="false">
      <c r="A261" s="22" t="n">
        <v>44456</v>
      </c>
      <c r="B261" s="23" t="n">
        <v>1.75</v>
      </c>
    </row>
    <row r="262" customFormat="false" ht="15" hidden="false" customHeight="false" outlineLevel="0" collapsed="false">
      <c r="A262" s="22" t="n">
        <v>44457</v>
      </c>
      <c r="B262" s="23" t="n">
        <v>1.75</v>
      </c>
    </row>
    <row r="263" customFormat="false" ht="15" hidden="false" customHeight="false" outlineLevel="0" collapsed="false">
      <c r="A263" s="22" t="n">
        <v>44458</v>
      </c>
      <c r="B263" s="23" t="n">
        <v>1.75</v>
      </c>
    </row>
    <row r="264" customFormat="false" ht="15" hidden="false" customHeight="false" outlineLevel="0" collapsed="false">
      <c r="A264" s="22" t="n">
        <v>44459</v>
      </c>
      <c r="B264" s="23" t="n">
        <v>1.75</v>
      </c>
    </row>
    <row r="265" customFormat="false" ht="15" hidden="false" customHeight="false" outlineLevel="0" collapsed="false">
      <c r="A265" s="22" t="n">
        <v>44460</v>
      </c>
      <c r="B265" s="23" t="n">
        <v>1.75</v>
      </c>
    </row>
    <row r="266" customFormat="false" ht="15" hidden="false" customHeight="false" outlineLevel="0" collapsed="false">
      <c r="A266" s="22" t="n">
        <v>44461</v>
      </c>
      <c r="B266" s="23" t="n">
        <v>1.75</v>
      </c>
    </row>
    <row r="267" customFormat="false" ht="15" hidden="false" customHeight="false" outlineLevel="0" collapsed="false">
      <c r="A267" s="22" t="n">
        <v>44462</v>
      </c>
      <c r="B267" s="23" t="n">
        <v>1.75</v>
      </c>
    </row>
    <row r="268" customFormat="false" ht="15" hidden="false" customHeight="false" outlineLevel="0" collapsed="false">
      <c r="A268" s="22" t="n">
        <v>44463</v>
      </c>
      <c r="B268" s="23" t="n">
        <v>1.75</v>
      </c>
    </row>
    <row r="269" customFormat="false" ht="15" hidden="false" customHeight="false" outlineLevel="0" collapsed="false">
      <c r="A269" s="22" t="n">
        <v>44464</v>
      </c>
      <c r="B269" s="23" t="n">
        <v>1.75</v>
      </c>
    </row>
    <row r="270" customFormat="false" ht="15" hidden="false" customHeight="false" outlineLevel="0" collapsed="false">
      <c r="A270" s="22" t="n">
        <v>44465</v>
      </c>
      <c r="B270" s="23" t="n">
        <v>1.75</v>
      </c>
    </row>
    <row r="271" customFormat="false" ht="15" hidden="false" customHeight="false" outlineLevel="0" collapsed="false">
      <c r="A271" s="22" t="n">
        <v>44466</v>
      </c>
      <c r="B271" s="23" t="n">
        <v>1.75</v>
      </c>
    </row>
    <row r="272" customFormat="false" ht="15" hidden="false" customHeight="false" outlineLevel="0" collapsed="false">
      <c r="A272" s="22" t="n">
        <v>44467</v>
      </c>
      <c r="B272" s="23" t="n">
        <v>1.75</v>
      </c>
    </row>
    <row r="273" customFormat="false" ht="15" hidden="false" customHeight="false" outlineLevel="0" collapsed="false">
      <c r="A273" s="22" t="n">
        <v>44468</v>
      </c>
      <c r="B273" s="23" t="n">
        <v>1.75</v>
      </c>
    </row>
    <row r="274" customFormat="false" ht="15" hidden="false" customHeight="false" outlineLevel="0" collapsed="false">
      <c r="A274" s="22" t="n">
        <v>44469</v>
      </c>
      <c r="B274" s="23" t="n">
        <v>1.75</v>
      </c>
    </row>
    <row r="275" customFormat="false" ht="15" hidden="false" customHeight="false" outlineLevel="0" collapsed="false">
      <c r="A275" s="22" t="n">
        <v>44470</v>
      </c>
      <c r="B275" s="23" t="n">
        <v>2</v>
      </c>
    </row>
    <row r="276" customFormat="false" ht="15" hidden="false" customHeight="false" outlineLevel="0" collapsed="false">
      <c r="A276" s="22" t="n">
        <v>44471</v>
      </c>
      <c r="B276" s="23" t="n">
        <v>2</v>
      </c>
    </row>
    <row r="277" customFormat="false" ht="15" hidden="false" customHeight="false" outlineLevel="0" collapsed="false">
      <c r="A277" s="22" t="n">
        <v>44472</v>
      </c>
      <c r="B277" s="23" t="n">
        <v>2</v>
      </c>
    </row>
    <row r="278" customFormat="false" ht="15" hidden="false" customHeight="false" outlineLevel="0" collapsed="false">
      <c r="A278" s="22" t="n">
        <v>44473</v>
      </c>
      <c r="B278" s="23" t="n">
        <v>2</v>
      </c>
    </row>
    <row r="279" customFormat="false" ht="15" hidden="false" customHeight="false" outlineLevel="0" collapsed="false">
      <c r="A279" s="22" t="n">
        <v>44474</v>
      </c>
      <c r="B279" s="23" t="n">
        <v>2</v>
      </c>
    </row>
    <row r="280" customFormat="false" ht="15" hidden="false" customHeight="false" outlineLevel="0" collapsed="false">
      <c r="A280" s="22" t="n">
        <v>44475</v>
      </c>
      <c r="B280" s="23" t="n">
        <v>2</v>
      </c>
    </row>
    <row r="281" customFormat="false" ht="15" hidden="false" customHeight="false" outlineLevel="0" collapsed="false">
      <c r="A281" s="22" t="n">
        <v>44476</v>
      </c>
      <c r="B281" s="23" t="n">
        <v>2</v>
      </c>
    </row>
    <row r="282" customFormat="false" ht="15" hidden="false" customHeight="false" outlineLevel="0" collapsed="false">
      <c r="A282" s="22" t="n">
        <v>44477</v>
      </c>
      <c r="B282" s="23" t="n">
        <v>2</v>
      </c>
    </row>
    <row r="283" customFormat="false" ht="15" hidden="false" customHeight="false" outlineLevel="0" collapsed="false">
      <c r="A283" s="22" t="n">
        <v>44478</v>
      </c>
      <c r="B283" s="23" t="n">
        <v>2</v>
      </c>
    </row>
    <row r="284" customFormat="false" ht="15" hidden="false" customHeight="false" outlineLevel="0" collapsed="false">
      <c r="A284" s="22" t="n">
        <v>44479</v>
      </c>
      <c r="B284" s="23" t="n">
        <v>2</v>
      </c>
    </row>
    <row r="285" customFormat="false" ht="15" hidden="false" customHeight="false" outlineLevel="0" collapsed="false">
      <c r="A285" s="22" t="n">
        <v>44480</v>
      </c>
      <c r="B285" s="23" t="n">
        <v>2</v>
      </c>
    </row>
    <row r="286" customFormat="false" ht="15" hidden="false" customHeight="false" outlineLevel="0" collapsed="false">
      <c r="A286" s="22" t="n">
        <v>44481</v>
      </c>
      <c r="B286" s="23" t="n">
        <v>2</v>
      </c>
    </row>
    <row r="287" customFormat="false" ht="15" hidden="false" customHeight="false" outlineLevel="0" collapsed="false">
      <c r="A287" s="22" t="n">
        <v>44482</v>
      </c>
      <c r="B287" s="23" t="n">
        <v>2</v>
      </c>
    </row>
    <row r="288" customFormat="false" ht="15" hidden="false" customHeight="false" outlineLevel="0" collapsed="false">
      <c r="A288" s="22" t="n">
        <v>44483</v>
      </c>
      <c r="B288" s="23" t="n">
        <v>2</v>
      </c>
    </row>
    <row r="289" customFormat="false" ht="15" hidden="false" customHeight="false" outlineLevel="0" collapsed="false">
      <c r="A289" s="22" t="n">
        <v>44484</v>
      </c>
      <c r="B289" s="23" t="n">
        <v>2</v>
      </c>
    </row>
    <row r="290" customFormat="false" ht="15" hidden="false" customHeight="false" outlineLevel="0" collapsed="false">
      <c r="A290" s="22" t="n">
        <v>44485</v>
      </c>
      <c r="B290" s="23" t="n">
        <v>2</v>
      </c>
    </row>
    <row r="291" customFormat="false" ht="15" hidden="false" customHeight="false" outlineLevel="0" collapsed="false">
      <c r="A291" s="22" t="n">
        <v>44486</v>
      </c>
      <c r="B291" s="23" t="n">
        <v>2</v>
      </c>
    </row>
    <row r="292" customFormat="false" ht="15" hidden="false" customHeight="false" outlineLevel="0" collapsed="false">
      <c r="A292" s="22" t="n">
        <v>44487</v>
      </c>
      <c r="B292" s="23" t="n">
        <v>2</v>
      </c>
    </row>
    <row r="293" customFormat="false" ht="15" hidden="false" customHeight="false" outlineLevel="0" collapsed="false">
      <c r="A293" s="22" t="n">
        <v>44488</v>
      </c>
      <c r="B293" s="23" t="n">
        <v>2</v>
      </c>
    </row>
    <row r="294" customFormat="false" ht="15" hidden="false" customHeight="false" outlineLevel="0" collapsed="false">
      <c r="A294" s="22" t="n">
        <v>44489</v>
      </c>
      <c r="B294" s="23" t="n">
        <v>2</v>
      </c>
    </row>
    <row r="295" customFormat="false" ht="15" hidden="false" customHeight="false" outlineLevel="0" collapsed="false">
      <c r="A295" s="22" t="n">
        <v>44490</v>
      </c>
      <c r="B295" s="23" t="n">
        <v>2</v>
      </c>
    </row>
    <row r="296" customFormat="false" ht="15" hidden="false" customHeight="false" outlineLevel="0" collapsed="false">
      <c r="A296" s="22" t="n">
        <v>44491</v>
      </c>
      <c r="B296" s="23" t="n">
        <v>2</v>
      </c>
    </row>
    <row r="297" customFormat="false" ht="15" hidden="false" customHeight="false" outlineLevel="0" collapsed="false">
      <c r="A297" s="22" t="n">
        <v>44492</v>
      </c>
      <c r="B297" s="23" t="n">
        <v>2</v>
      </c>
    </row>
    <row r="298" customFormat="false" ht="15" hidden="false" customHeight="false" outlineLevel="0" collapsed="false">
      <c r="A298" s="22" t="n">
        <v>44493</v>
      </c>
      <c r="B298" s="23" t="n">
        <v>2</v>
      </c>
    </row>
    <row r="299" customFormat="false" ht="15" hidden="false" customHeight="false" outlineLevel="0" collapsed="false">
      <c r="A299" s="22" t="n">
        <v>44494</v>
      </c>
      <c r="B299" s="23" t="n">
        <v>2</v>
      </c>
    </row>
    <row r="300" customFormat="false" ht="15" hidden="false" customHeight="false" outlineLevel="0" collapsed="false">
      <c r="A300" s="22" t="n">
        <v>44495</v>
      </c>
      <c r="B300" s="23" t="n">
        <v>2</v>
      </c>
    </row>
    <row r="301" customFormat="false" ht="15" hidden="false" customHeight="false" outlineLevel="0" collapsed="false">
      <c r="A301" s="22" t="n">
        <v>44496</v>
      </c>
      <c r="B301" s="23" t="n">
        <v>2</v>
      </c>
    </row>
    <row r="302" customFormat="false" ht="15" hidden="false" customHeight="false" outlineLevel="0" collapsed="false">
      <c r="A302" s="22" t="n">
        <v>44497</v>
      </c>
      <c r="B302" s="23" t="n">
        <v>2</v>
      </c>
    </row>
    <row r="303" customFormat="false" ht="15" hidden="false" customHeight="false" outlineLevel="0" collapsed="false">
      <c r="A303" s="22" t="n">
        <v>44498</v>
      </c>
      <c r="B303" s="23" t="n">
        <v>2</v>
      </c>
    </row>
    <row r="304" customFormat="false" ht="15" hidden="false" customHeight="false" outlineLevel="0" collapsed="false">
      <c r="A304" s="22" t="n">
        <v>44499</v>
      </c>
      <c r="B304" s="23" t="n">
        <v>2</v>
      </c>
    </row>
    <row r="305" customFormat="false" ht="15" hidden="false" customHeight="false" outlineLevel="0" collapsed="false">
      <c r="A305" s="22" t="n">
        <v>44500</v>
      </c>
      <c r="B305" s="23" t="n">
        <v>2</v>
      </c>
    </row>
    <row r="306" customFormat="false" ht="15" hidden="false" customHeight="false" outlineLevel="0" collapsed="false">
      <c r="A306" s="22" t="n">
        <v>44501</v>
      </c>
      <c r="B306" s="23" t="n">
        <v>2</v>
      </c>
    </row>
    <row r="307" customFormat="false" ht="15" hidden="false" customHeight="false" outlineLevel="0" collapsed="false">
      <c r="A307" s="22" t="n">
        <v>44502</v>
      </c>
      <c r="B307" s="23" t="n">
        <v>2.5</v>
      </c>
    </row>
    <row r="308" customFormat="false" ht="15" hidden="false" customHeight="false" outlineLevel="0" collapsed="false">
      <c r="A308" s="22" t="n">
        <v>44503</v>
      </c>
      <c r="B308" s="23" t="n">
        <v>2.5</v>
      </c>
    </row>
    <row r="309" customFormat="false" ht="15" hidden="false" customHeight="false" outlineLevel="0" collapsed="false">
      <c r="A309" s="22" t="n">
        <v>44504</v>
      </c>
      <c r="B309" s="23" t="n">
        <v>2.5</v>
      </c>
    </row>
    <row r="310" customFormat="false" ht="15" hidden="false" customHeight="false" outlineLevel="0" collapsed="false">
      <c r="A310" s="22" t="n">
        <v>44505</v>
      </c>
      <c r="B310" s="23" t="n">
        <v>2.5</v>
      </c>
    </row>
    <row r="311" customFormat="false" ht="15" hidden="false" customHeight="false" outlineLevel="0" collapsed="false">
      <c r="A311" s="22" t="n">
        <v>44506</v>
      </c>
      <c r="B311" s="23" t="n">
        <v>2.5</v>
      </c>
    </row>
    <row r="312" customFormat="false" ht="15" hidden="false" customHeight="false" outlineLevel="0" collapsed="false">
      <c r="A312" s="22" t="n">
        <v>44507</v>
      </c>
      <c r="B312" s="23" t="n">
        <v>2.5</v>
      </c>
    </row>
    <row r="313" customFormat="false" ht="15" hidden="false" customHeight="false" outlineLevel="0" collapsed="false">
      <c r="A313" s="22" t="n">
        <v>44508</v>
      </c>
      <c r="B313" s="23" t="n">
        <v>2.5</v>
      </c>
    </row>
    <row r="314" customFormat="false" ht="15" hidden="false" customHeight="false" outlineLevel="0" collapsed="false">
      <c r="A314" s="22" t="n">
        <v>44509</v>
      </c>
      <c r="B314" s="23" t="n">
        <v>2.5</v>
      </c>
    </row>
    <row r="315" customFormat="false" ht="15" hidden="false" customHeight="false" outlineLevel="0" collapsed="false">
      <c r="A315" s="22" t="n">
        <v>44510</v>
      </c>
      <c r="B315" s="23" t="n">
        <v>2.5</v>
      </c>
    </row>
    <row r="316" customFormat="false" ht="15" hidden="false" customHeight="false" outlineLevel="0" collapsed="false">
      <c r="A316" s="22" t="n">
        <v>44511</v>
      </c>
      <c r="B316" s="23" t="n">
        <v>2.5</v>
      </c>
    </row>
    <row r="317" customFormat="false" ht="15" hidden="false" customHeight="false" outlineLevel="0" collapsed="false">
      <c r="A317" s="22" t="n">
        <v>44512</v>
      </c>
      <c r="B317" s="23" t="n">
        <v>2.5</v>
      </c>
    </row>
    <row r="318" customFormat="false" ht="15" hidden="false" customHeight="false" outlineLevel="0" collapsed="false">
      <c r="A318" s="22" t="n">
        <v>44513</v>
      </c>
      <c r="B318" s="23" t="n">
        <v>2.5</v>
      </c>
    </row>
    <row r="319" customFormat="false" ht="15" hidden="false" customHeight="false" outlineLevel="0" collapsed="false">
      <c r="A319" s="22" t="n">
        <v>44514</v>
      </c>
      <c r="B319" s="23" t="n">
        <v>2.5</v>
      </c>
    </row>
    <row r="320" customFormat="false" ht="15" hidden="false" customHeight="false" outlineLevel="0" collapsed="false">
      <c r="A320" s="22" t="n">
        <v>44515</v>
      </c>
      <c r="B320" s="23" t="n">
        <v>2.5</v>
      </c>
    </row>
    <row r="321" customFormat="false" ht="15" hidden="false" customHeight="false" outlineLevel="0" collapsed="false">
      <c r="A321" s="22" t="n">
        <v>44516</v>
      </c>
      <c r="B321" s="23" t="n">
        <v>2.5</v>
      </c>
    </row>
    <row r="322" customFormat="false" ht="15" hidden="false" customHeight="false" outlineLevel="0" collapsed="false">
      <c r="A322" s="22" t="n">
        <v>44517</v>
      </c>
      <c r="B322" s="23" t="n">
        <v>2.5</v>
      </c>
    </row>
    <row r="323" customFormat="false" ht="15" hidden="false" customHeight="false" outlineLevel="0" collapsed="false">
      <c r="A323" s="22" t="n">
        <v>44518</v>
      </c>
      <c r="B323" s="23" t="n">
        <v>2.5</v>
      </c>
    </row>
    <row r="324" customFormat="false" ht="15" hidden="false" customHeight="false" outlineLevel="0" collapsed="false">
      <c r="A324" s="22" t="n">
        <v>44519</v>
      </c>
      <c r="B324" s="23" t="n">
        <v>2.5</v>
      </c>
    </row>
    <row r="325" customFormat="false" ht="15" hidden="false" customHeight="false" outlineLevel="0" collapsed="false">
      <c r="A325" s="22" t="n">
        <v>44520</v>
      </c>
      <c r="B325" s="23" t="n">
        <v>2.5</v>
      </c>
    </row>
    <row r="326" customFormat="false" ht="15" hidden="false" customHeight="false" outlineLevel="0" collapsed="false">
      <c r="A326" s="22" t="n">
        <v>44521</v>
      </c>
      <c r="B326" s="23" t="n">
        <v>2.5</v>
      </c>
    </row>
    <row r="327" customFormat="false" ht="15" hidden="false" customHeight="false" outlineLevel="0" collapsed="false">
      <c r="A327" s="22" t="n">
        <v>44522</v>
      </c>
      <c r="B327" s="23" t="n">
        <v>2.5</v>
      </c>
    </row>
    <row r="328" customFormat="false" ht="15" hidden="false" customHeight="false" outlineLevel="0" collapsed="false">
      <c r="A328" s="22" t="n">
        <v>44523</v>
      </c>
      <c r="B328" s="23" t="n">
        <v>2.5</v>
      </c>
    </row>
    <row r="329" customFormat="false" ht="15" hidden="false" customHeight="false" outlineLevel="0" collapsed="false">
      <c r="A329" s="22" t="n">
        <v>44524</v>
      </c>
      <c r="B329" s="23" t="n">
        <v>2.5</v>
      </c>
    </row>
    <row r="330" customFormat="false" ht="15" hidden="false" customHeight="false" outlineLevel="0" collapsed="false">
      <c r="A330" s="22" t="n">
        <v>44525</v>
      </c>
      <c r="B330" s="23" t="n">
        <v>2.5</v>
      </c>
    </row>
    <row r="331" customFormat="false" ht="15" hidden="false" customHeight="false" outlineLevel="0" collapsed="false">
      <c r="A331" s="22" t="n">
        <v>44526</v>
      </c>
      <c r="B331" s="23" t="n">
        <v>2.5</v>
      </c>
    </row>
    <row r="332" customFormat="false" ht="15" hidden="false" customHeight="false" outlineLevel="0" collapsed="false">
      <c r="A332" s="22" t="n">
        <v>44527</v>
      </c>
      <c r="B332" s="23" t="n">
        <v>2.5</v>
      </c>
    </row>
    <row r="333" customFormat="false" ht="15" hidden="false" customHeight="false" outlineLevel="0" collapsed="false">
      <c r="A333" s="22" t="n">
        <v>44528</v>
      </c>
      <c r="B333" s="23" t="n">
        <v>2.5</v>
      </c>
    </row>
    <row r="334" customFormat="false" ht="15" hidden="false" customHeight="false" outlineLevel="0" collapsed="false">
      <c r="A334" s="22" t="n">
        <v>44529</v>
      </c>
      <c r="B334" s="23" t="n">
        <v>2.5</v>
      </c>
    </row>
    <row r="335" customFormat="false" ht="15" hidden="false" customHeight="false" outlineLevel="0" collapsed="false">
      <c r="A335" s="22" t="n">
        <v>44530</v>
      </c>
      <c r="B335" s="23" t="n">
        <v>2.5</v>
      </c>
    </row>
    <row r="336" customFormat="false" ht="15" hidden="false" customHeight="false" outlineLevel="0" collapsed="false">
      <c r="A336" s="22" t="n">
        <v>44531</v>
      </c>
      <c r="B336" s="23" t="n">
        <v>2.5</v>
      </c>
    </row>
    <row r="337" customFormat="false" ht="15" hidden="false" customHeight="false" outlineLevel="0" collapsed="false">
      <c r="A337" s="22" t="n">
        <v>44532</v>
      </c>
      <c r="B337" s="23" t="n">
        <v>2.5</v>
      </c>
    </row>
    <row r="338" customFormat="false" ht="15" hidden="false" customHeight="false" outlineLevel="0" collapsed="false">
      <c r="A338" s="22" t="n">
        <v>44533</v>
      </c>
      <c r="B338" s="23" t="n">
        <v>2.5</v>
      </c>
    </row>
    <row r="339" customFormat="false" ht="15" hidden="false" customHeight="false" outlineLevel="0" collapsed="false">
      <c r="A339" s="22" t="n">
        <v>44534</v>
      </c>
      <c r="B339" s="23" t="n">
        <v>2.5</v>
      </c>
    </row>
    <row r="340" customFormat="false" ht="15" hidden="false" customHeight="false" outlineLevel="0" collapsed="false">
      <c r="A340" s="22" t="n">
        <v>44535</v>
      </c>
      <c r="B340" s="23" t="n">
        <v>2.5</v>
      </c>
    </row>
    <row r="341" customFormat="false" ht="15" hidden="false" customHeight="false" outlineLevel="0" collapsed="false">
      <c r="A341" s="22" t="n">
        <v>44536</v>
      </c>
      <c r="B341" s="23" t="n">
        <v>2.5</v>
      </c>
    </row>
    <row r="342" customFormat="false" ht="15" hidden="false" customHeight="false" outlineLevel="0" collapsed="false">
      <c r="A342" s="22" t="n">
        <v>44537</v>
      </c>
      <c r="B342" s="23" t="n">
        <v>2.5</v>
      </c>
    </row>
    <row r="343" customFormat="false" ht="15" hidden="false" customHeight="false" outlineLevel="0" collapsed="false">
      <c r="A343" s="22" t="n">
        <v>44538</v>
      </c>
      <c r="B343" s="23" t="n">
        <v>2.5</v>
      </c>
    </row>
    <row r="344" customFormat="false" ht="15" hidden="false" customHeight="false" outlineLevel="0" collapsed="false">
      <c r="A344" s="22" t="n">
        <v>44539</v>
      </c>
      <c r="B344" s="23" t="n">
        <v>2.5</v>
      </c>
    </row>
    <row r="345" customFormat="false" ht="15" hidden="false" customHeight="false" outlineLevel="0" collapsed="false">
      <c r="A345" s="22" t="n">
        <v>44540</v>
      </c>
      <c r="B345" s="23" t="n">
        <v>2.5</v>
      </c>
    </row>
    <row r="346" customFormat="false" ht="15" hidden="false" customHeight="false" outlineLevel="0" collapsed="false">
      <c r="A346" s="22" t="n">
        <v>44541</v>
      </c>
      <c r="B346" s="23" t="n">
        <v>2.5</v>
      </c>
    </row>
    <row r="347" customFormat="false" ht="15" hidden="false" customHeight="false" outlineLevel="0" collapsed="false">
      <c r="A347" s="22" t="n">
        <v>44542</v>
      </c>
      <c r="B347" s="23" t="n">
        <v>2.5</v>
      </c>
    </row>
    <row r="348" customFormat="false" ht="15" hidden="false" customHeight="false" outlineLevel="0" collapsed="false">
      <c r="A348" s="22" t="n">
        <v>44543</v>
      </c>
      <c r="B348" s="23" t="n">
        <v>2.5</v>
      </c>
    </row>
    <row r="349" customFormat="false" ht="15" hidden="false" customHeight="false" outlineLevel="0" collapsed="false">
      <c r="A349" s="22" t="n">
        <v>44544</v>
      </c>
      <c r="B349" s="23" t="n">
        <v>2.5</v>
      </c>
    </row>
    <row r="350" customFormat="false" ht="15" hidden="false" customHeight="false" outlineLevel="0" collapsed="false">
      <c r="A350" s="22" t="n">
        <v>44545</v>
      </c>
      <c r="B350" s="23" t="n">
        <v>2.5</v>
      </c>
    </row>
    <row r="351" customFormat="false" ht="15" hidden="false" customHeight="false" outlineLevel="0" collapsed="false">
      <c r="A351" s="22" t="n">
        <v>44546</v>
      </c>
      <c r="B351" s="23" t="n">
        <v>2.5</v>
      </c>
    </row>
    <row r="352" customFormat="false" ht="15" hidden="false" customHeight="false" outlineLevel="0" collapsed="false">
      <c r="A352" s="22" t="n">
        <v>44547</v>
      </c>
      <c r="B352" s="23" t="n">
        <v>2.5</v>
      </c>
    </row>
    <row r="353" customFormat="false" ht="15" hidden="false" customHeight="false" outlineLevel="0" collapsed="false">
      <c r="A353" s="22" t="n">
        <v>44548</v>
      </c>
      <c r="B353" s="23" t="n">
        <v>2.5</v>
      </c>
    </row>
    <row r="354" customFormat="false" ht="15" hidden="false" customHeight="false" outlineLevel="0" collapsed="false">
      <c r="A354" s="22" t="n">
        <v>44549</v>
      </c>
      <c r="B354" s="23" t="n">
        <v>2.5</v>
      </c>
    </row>
    <row r="355" customFormat="false" ht="15" hidden="false" customHeight="false" outlineLevel="0" collapsed="false">
      <c r="A355" s="22" t="n">
        <v>44550</v>
      </c>
      <c r="B355" s="23" t="n">
        <v>3</v>
      </c>
    </row>
    <row r="356" customFormat="false" ht="15" hidden="false" customHeight="false" outlineLevel="0" collapsed="false">
      <c r="A356" s="22" t="n">
        <v>44551</v>
      </c>
      <c r="B356" s="23" t="n">
        <v>3</v>
      </c>
    </row>
    <row r="357" customFormat="false" ht="15" hidden="false" customHeight="false" outlineLevel="0" collapsed="false">
      <c r="A357" s="22" t="n">
        <v>44552</v>
      </c>
      <c r="B357" s="23" t="n">
        <v>3</v>
      </c>
    </row>
    <row r="358" customFormat="false" ht="15" hidden="false" customHeight="false" outlineLevel="0" collapsed="false">
      <c r="A358" s="22" t="n">
        <v>44553</v>
      </c>
      <c r="B358" s="23" t="n">
        <v>3</v>
      </c>
    </row>
    <row r="359" customFormat="false" ht="15" hidden="false" customHeight="false" outlineLevel="0" collapsed="false">
      <c r="A359" s="22" t="n">
        <v>44554</v>
      </c>
      <c r="B359" s="23" t="n">
        <v>3</v>
      </c>
    </row>
    <row r="360" customFormat="false" ht="15" hidden="false" customHeight="false" outlineLevel="0" collapsed="false">
      <c r="A360" s="22" t="n">
        <v>44555</v>
      </c>
      <c r="B360" s="23" t="n">
        <v>3</v>
      </c>
    </row>
    <row r="361" customFormat="false" ht="15" hidden="false" customHeight="false" outlineLevel="0" collapsed="false">
      <c r="A361" s="22" t="n">
        <v>44556</v>
      </c>
      <c r="B361" s="23" t="n">
        <v>3</v>
      </c>
    </row>
    <row r="362" customFormat="false" ht="15" hidden="false" customHeight="false" outlineLevel="0" collapsed="false">
      <c r="A362" s="22" t="n">
        <v>44557</v>
      </c>
      <c r="B362" s="23" t="n">
        <v>3</v>
      </c>
    </row>
    <row r="363" customFormat="false" ht="15" hidden="false" customHeight="false" outlineLevel="0" collapsed="false">
      <c r="A363" s="22" t="n">
        <v>44558</v>
      </c>
      <c r="B363" s="23" t="n">
        <v>3</v>
      </c>
    </row>
    <row r="364" customFormat="false" ht="15" hidden="false" customHeight="false" outlineLevel="0" collapsed="false">
      <c r="A364" s="22" t="n">
        <v>44559</v>
      </c>
      <c r="B364" s="23" t="n">
        <v>3</v>
      </c>
    </row>
    <row r="365" customFormat="false" ht="15" hidden="false" customHeight="false" outlineLevel="0" collapsed="false">
      <c r="A365" s="22" t="n">
        <v>44560</v>
      </c>
      <c r="B365" s="23" t="n">
        <v>3</v>
      </c>
    </row>
    <row r="366" customFormat="false" ht="15" hidden="false" customHeight="false" outlineLevel="0" collapsed="false">
      <c r="A366" s="22" t="n">
        <v>44561</v>
      </c>
      <c r="B366" s="23" t="n">
        <v>3</v>
      </c>
    </row>
    <row r="367" customFormat="false" ht="15" hidden="false" customHeight="false" outlineLevel="0" collapsed="false">
      <c r="A367" s="22" t="n">
        <v>44562</v>
      </c>
      <c r="B367" s="23" t="n">
        <v>3</v>
      </c>
    </row>
    <row r="368" customFormat="false" ht="15" hidden="false" customHeight="false" outlineLevel="0" collapsed="false">
      <c r="A368" s="22" t="n">
        <v>44563</v>
      </c>
      <c r="B368" s="23" t="n">
        <v>3</v>
      </c>
    </row>
    <row r="369" customFormat="false" ht="15" hidden="false" customHeight="false" outlineLevel="0" collapsed="false">
      <c r="A369" s="22" t="n">
        <v>44564</v>
      </c>
      <c r="B369" s="23" t="n">
        <v>3</v>
      </c>
    </row>
    <row r="370" customFormat="false" ht="15" hidden="false" customHeight="false" outlineLevel="0" collapsed="false">
      <c r="A370" s="22" t="n">
        <v>44565</v>
      </c>
      <c r="B370" s="23" t="n">
        <v>3</v>
      </c>
    </row>
    <row r="371" customFormat="false" ht="15" hidden="false" customHeight="false" outlineLevel="0" collapsed="false">
      <c r="A371" s="22" t="n">
        <v>44566</v>
      </c>
      <c r="B371" s="23" t="n">
        <v>3</v>
      </c>
    </row>
    <row r="372" customFormat="false" ht="15" hidden="false" customHeight="false" outlineLevel="0" collapsed="false">
      <c r="A372" s="22" t="n">
        <v>44567</v>
      </c>
      <c r="B372" s="23" t="n">
        <v>3</v>
      </c>
    </row>
    <row r="373" customFormat="false" ht="15" hidden="false" customHeight="false" outlineLevel="0" collapsed="false">
      <c r="A373" s="22" t="n">
        <v>44568</v>
      </c>
      <c r="B373" s="23" t="n">
        <v>3</v>
      </c>
    </row>
    <row r="374" customFormat="false" ht="15" hidden="false" customHeight="false" outlineLevel="0" collapsed="false">
      <c r="A374" s="22" t="n">
        <v>44569</v>
      </c>
      <c r="B374" s="23" t="n">
        <v>3</v>
      </c>
    </row>
    <row r="375" customFormat="false" ht="15" hidden="false" customHeight="false" outlineLevel="0" collapsed="false">
      <c r="A375" s="22" t="n">
        <v>44570</v>
      </c>
      <c r="B375" s="23" t="n">
        <v>3</v>
      </c>
    </row>
    <row r="376" customFormat="false" ht="15" hidden="false" customHeight="false" outlineLevel="0" collapsed="false">
      <c r="A376" s="22" t="n">
        <v>44571</v>
      </c>
      <c r="B376" s="23" t="n">
        <v>3</v>
      </c>
    </row>
    <row r="377" customFormat="false" ht="15" hidden="false" customHeight="false" outlineLevel="0" collapsed="false">
      <c r="A377" s="22" t="n">
        <v>44572</v>
      </c>
      <c r="B377" s="23" t="n">
        <v>3</v>
      </c>
    </row>
    <row r="378" customFormat="false" ht="15" hidden="false" customHeight="false" outlineLevel="0" collapsed="false">
      <c r="A378" s="22" t="n">
        <v>44573</v>
      </c>
      <c r="B378" s="23" t="n">
        <v>3</v>
      </c>
    </row>
    <row r="379" customFormat="false" ht="15" hidden="false" customHeight="false" outlineLevel="0" collapsed="false">
      <c r="A379" s="22" t="n">
        <v>44574</v>
      </c>
      <c r="B379" s="23" t="n">
        <v>3</v>
      </c>
    </row>
    <row r="380" customFormat="false" ht="15" hidden="false" customHeight="false" outlineLevel="0" collapsed="false">
      <c r="A380" s="22" t="n">
        <v>44575</v>
      </c>
      <c r="B380" s="23" t="n">
        <v>3</v>
      </c>
    </row>
    <row r="381" customFormat="false" ht="15" hidden="false" customHeight="false" outlineLevel="0" collapsed="false">
      <c r="A381" s="22" t="n">
        <v>44576</v>
      </c>
      <c r="B381" s="23" t="n">
        <v>3</v>
      </c>
    </row>
    <row r="382" customFormat="false" ht="15" hidden="false" customHeight="false" outlineLevel="0" collapsed="false">
      <c r="A382" s="22" t="n">
        <v>44577</v>
      </c>
      <c r="B382" s="23" t="n">
        <v>3</v>
      </c>
    </row>
    <row r="383" customFormat="false" ht="15" hidden="false" customHeight="false" outlineLevel="0" collapsed="false">
      <c r="A383" s="22" t="n">
        <v>44578</v>
      </c>
      <c r="B383" s="23" t="n">
        <v>3</v>
      </c>
    </row>
    <row r="384" customFormat="false" ht="15" hidden="false" customHeight="false" outlineLevel="0" collapsed="false">
      <c r="A384" s="22" t="n">
        <v>44579</v>
      </c>
      <c r="B384" s="23" t="n">
        <v>3</v>
      </c>
    </row>
    <row r="385" customFormat="false" ht="15" hidden="false" customHeight="false" outlineLevel="0" collapsed="false">
      <c r="A385" s="22" t="n">
        <v>44580</v>
      </c>
      <c r="B385" s="23" t="n">
        <v>3</v>
      </c>
    </row>
    <row r="386" customFormat="false" ht="15" hidden="false" customHeight="false" outlineLevel="0" collapsed="false">
      <c r="A386" s="22" t="n">
        <v>44581</v>
      </c>
      <c r="B386" s="23" t="n">
        <v>3</v>
      </c>
    </row>
    <row r="387" customFormat="false" ht="15" hidden="false" customHeight="false" outlineLevel="0" collapsed="false">
      <c r="A387" s="22" t="n">
        <v>44582</v>
      </c>
      <c r="B387" s="23" t="n">
        <v>3</v>
      </c>
    </row>
    <row r="388" customFormat="false" ht="15" hidden="false" customHeight="false" outlineLevel="0" collapsed="false">
      <c r="A388" s="22" t="n">
        <v>44583</v>
      </c>
      <c r="B388" s="23" t="n">
        <v>3</v>
      </c>
    </row>
    <row r="389" customFormat="false" ht="15" hidden="false" customHeight="false" outlineLevel="0" collapsed="false">
      <c r="A389" s="22" t="n">
        <v>44584</v>
      </c>
      <c r="B389" s="23" t="n">
        <v>3</v>
      </c>
    </row>
    <row r="390" customFormat="false" ht="15" hidden="false" customHeight="false" outlineLevel="0" collapsed="false">
      <c r="A390" s="22" t="n">
        <v>44585</v>
      </c>
      <c r="B390" s="23" t="n">
        <v>3</v>
      </c>
    </row>
    <row r="391" customFormat="false" ht="15" hidden="false" customHeight="false" outlineLevel="0" collapsed="false">
      <c r="A391" s="22" t="n">
        <v>44586</v>
      </c>
      <c r="B391" s="23" t="n">
        <v>3</v>
      </c>
    </row>
    <row r="392" customFormat="false" ht="15" hidden="false" customHeight="false" outlineLevel="0" collapsed="false">
      <c r="A392" s="22" t="n">
        <v>44587</v>
      </c>
      <c r="B392" s="23" t="n">
        <v>3</v>
      </c>
    </row>
    <row r="393" customFormat="false" ht="15" hidden="false" customHeight="false" outlineLevel="0" collapsed="false">
      <c r="A393" s="22" t="n">
        <v>44588</v>
      </c>
      <c r="B393" s="23" t="n">
        <v>3</v>
      </c>
    </row>
    <row r="394" customFormat="false" ht="15" hidden="false" customHeight="false" outlineLevel="0" collapsed="false">
      <c r="A394" s="22" t="n">
        <v>44589</v>
      </c>
      <c r="B394" s="23" t="n">
        <v>3</v>
      </c>
    </row>
    <row r="395" customFormat="false" ht="15" hidden="false" customHeight="false" outlineLevel="0" collapsed="false">
      <c r="A395" s="22" t="n">
        <v>44590</v>
      </c>
      <c r="B395" s="23" t="n">
        <v>3</v>
      </c>
    </row>
    <row r="396" customFormat="false" ht="15" hidden="false" customHeight="false" outlineLevel="0" collapsed="false">
      <c r="A396" s="22" t="n">
        <v>44591</v>
      </c>
      <c r="B396" s="23" t="n">
        <v>3</v>
      </c>
    </row>
    <row r="397" customFormat="false" ht="15" hidden="false" customHeight="false" outlineLevel="0" collapsed="false">
      <c r="A397" s="22" t="n">
        <v>44592</v>
      </c>
      <c r="B397" s="23" t="n">
        <v>4</v>
      </c>
    </row>
    <row r="398" customFormat="false" ht="15" hidden="false" customHeight="false" outlineLevel="0" collapsed="false">
      <c r="A398" s="22" t="n">
        <v>44593</v>
      </c>
      <c r="B398" s="23" t="n">
        <v>4</v>
      </c>
    </row>
    <row r="399" customFormat="false" ht="15" hidden="false" customHeight="false" outlineLevel="0" collapsed="false">
      <c r="A399" s="22" t="n">
        <v>44594</v>
      </c>
      <c r="B399" s="23" t="n">
        <v>4</v>
      </c>
    </row>
    <row r="400" customFormat="false" ht="15" hidden="false" customHeight="false" outlineLevel="0" collapsed="false">
      <c r="A400" s="22" t="n">
        <v>44595</v>
      </c>
      <c r="B400" s="23" t="n">
        <v>4</v>
      </c>
    </row>
    <row r="401" customFormat="false" ht="15" hidden="false" customHeight="false" outlineLevel="0" collapsed="false">
      <c r="A401" s="22" t="n">
        <v>44596</v>
      </c>
      <c r="B401" s="23" t="n">
        <v>4</v>
      </c>
    </row>
    <row r="402" customFormat="false" ht="15" hidden="false" customHeight="false" outlineLevel="0" collapsed="false">
      <c r="A402" s="22" t="n">
        <v>44597</v>
      </c>
      <c r="B402" s="23" t="n">
        <v>4</v>
      </c>
    </row>
    <row r="403" customFormat="false" ht="15" hidden="false" customHeight="false" outlineLevel="0" collapsed="false">
      <c r="A403" s="22" t="n">
        <v>44598</v>
      </c>
      <c r="B403" s="23" t="n">
        <v>4</v>
      </c>
    </row>
    <row r="404" customFormat="false" ht="15" hidden="false" customHeight="false" outlineLevel="0" collapsed="false">
      <c r="A404" s="22" t="n">
        <v>44599</v>
      </c>
      <c r="B404" s="23" t="n">
        <v>4</v>
      </c>
    </row>
    <row r="405" customFormat="false" ht="15" hidden="false" customHeight="false" outlineLevel="0" collapsed="false">
      <c r="A405" s="22" t="n">
        <v>44600</v>
      </c>
      <c r="B405" s="23" t="n">
        <v>4</v>
      </c>
    </row>
    <row r="406" customFormat="false" ht="15" hidden="false" customHeight="false" outlineLevel="0" collapsed="false">
      <c r="A406" s="22" t="n">
        <v>44601</v>
      </c>
      <c r="B406" s="23" t="n">
        <v>4</v>
      </c>
    </row>
    <row r="407" customFormat="false" ht="15" hidden="false" customHeight="false" outlineLevel="0" collapsed="false">
      <c r="A407" s="22" t="n">
        <v>44602</v>
      </c>
      <c r="B407" s="23" t="n">
        <v>4</v>
      </c>
    </row>
    <row r="408" customFormat="false" ht="15" hidden="false" customHeight="false" outlineLevel="0" collapsed="false">
      <c r="A408" s="22" t="n">
        <v>44603</v>
      </c>
      <c r="B408" s="23" t="n">
        <v>4</v>
      </c>
    </row>
    <row r="409" customFormat="false" ht="15" hidden="false" customHeight="false" outlineLevel="0" collapsed="false">
      <c r="A409" s="22" t="n">
        <v>44604</v>
      </c>
      <c r="B409" s="23" t="n">
        <v>4</v>
      </c>
    </row>
    <row r="410" customFormat="false" ht="15" hidden="false" customHeight="false" outlineLevel="0" collapsed="false">
      <c r="A410" s="22" t="n">
        <v>44605</v>
      </c>
      <c r="B410" s="23" t="n">
        <v>4</v>
      </c>
    </row>
    <row r="411" customFormat="false" ht="15" hidden="false" customHeight="false" outlineLevel="0" collapsed="false">
      <c r="A411" s="22" t="n">
        <v>44606</v>
      </c>
      <c r="B411" s="23" t="n">
        <v>4</v>
      </c>
    </row>
    <row r="412" customFormat="false" ht="15" hidden="false" customHeight="false" outlineLevel="0" collapsed="false">
      <c r="A412" s="22" t="n">
        <v>44607</v>
      </c>
      <c r="B412" s="23" t="n">
        <v>4</v>
      </c>
    </row>
    <row r="413" customFormat="false" ht="15" hidden="false" customHeight="false" outlineLevel="0" collapsed="false">
      <c r="A413" s="22" t="n">
        <v>44608</v>
      </c>
      <c r="B413" s="23" t="n">
        <v>4</v>
      </c>
    </row>
    <row r="414" customFormat="false" ht="15" hidden="false" customHeight="false" outlineLevel="0" collapsed="false">
      <c r="A414" s="22" t="n">
        <v>44609</v>
      </c>
      <c r="B414" s="23" t="n">
        <v>4</v>
      </c>
    </row>
    <row r="415" customFormat="false" ht="15" hidden="false" customHeight="false" outlineLevel="0" collapsed="false">
      <c r="A415" s="22" t="n">
        <v>44610</v>
      </c>
      <c r="B415" s="23" t="n">
        <v>4</v>
      </c>
    </row>
    <row r="416" customFormat="false" ht="15" hidden="false" customHeight="false" outlineLevel="0" collapsed="false">
      <c r="A416" s="22" t="n">
        <v>44611</v>
      </c>
      <c r="B416" s="23" t="n">
        <v>4</v>
      </c>
    </row>
    <row r="417" customFormat="false" ht="15" hidden="false" customHeight="false" outlineLevel="0" collapsed="false">
      <c r="A417" s="22" t="n">
        <v>44612</v>
      </c>
      <c r="B417" s="23" t="n">
        <v>4</v>
      </c>
    </row>
    <row r="418" customFormat="false" ht="15" hidden="false" customHeight="false" outlineLevel="0" collapsed="false">
      <c r="A418" s="22" t="n">
        <v>44613</v>
      </c>
      <c r="B418" s="23" t="n">
        <v>4</v>
      </c>
    </row>
    <row r="419" customFormat="false" ht="15" hidden="false" customHeight="false" outlineLevel="0" collapsed="false">
      <c r="A419" s="22" t="n">
        <v>44614</v>
      </c>
      <c r="B419" s="23" t="n">
        <v>4</v>
      </c>
    </row>
    <row r="420" customFormat="false" ht="15" hidden="false" customHeight="false" outlineLevel="0" collapsed="false">
      <c r="A420" s="22" t="n">
        <v>44615</v>
      </c>
      <c r="B420" s="23" t="n">
        <v>4</v>
      </c>
    </row>
    <row r="421" customFormat="false" ht="15" hidden="false" customHeight="false" outlineLevel="0" collapsed="false">
      <c r="A421" s="22" t="n">
        <v>44616</v>
      </c>
      <c r="B421" s="23" t="n">
        <v>4</v>
      </c>
    </row>
    <row r="422" customFormat="false" ht="15" hidden="false" customHeight="false" outlineLevel="0" collapsed="false">
      <c r="A422" s="22" t="n">
        <v>44617</v>
      </c>
      <c r="B422" s="23" t="n">
        <v>4</v>
      </c>
    </row>
    <row r="423" customFormat="false" ht="15" hidden="false" customHeight="false" outlineLevel="0" collapsed="false">
      <c r="A423" s="22" t="n">
        <v>44618</v>
      </c>
      <c r="B423" s="23" t="n">
        <v>4</v>
      </c>
    </row>
    <row r="424" customFormat="false" ht="15" hidden="false" customHeight="false" outlineLevel="0" collapsed="false">
      <c r="A424" s="22" t="n">
        <v>44619</v>
      </c>
      <c r="B424" s="23" t="n">
        <v>4</v>
      </c>
    </row>
    <row r="425" customFormat="false" ht="15" hidden="false" customHeight="false" outlineLevel="0" collapsed="false">
      <c r="A425" s="22" t="n">
        <v>44620</v>
      </c>
      <c r="B425" s="23" t="n">
        <v>4</v>
      </c>
    </row>
    <row r="426" customFormat="false" ht="15" hidden="false" customHeight="false" outlineLevel="0" collapsed="false">
      <c r="A426" s="22" t="n">
        <v>44621</v>
      </c>
      <c r="B426" s="23" t="n">
        <v>4</v>
      </c>
    </row>
    <row r="427" customFormat="false" ht="15" hidden="false" customHeight="false" outlineLevel="0" collapsed="false">
      <c r="A427" s="22" t="n">
        <v>44622</v>
      </c>
      <c r="B427" s="23" t="n">
        <v>4</v>
      </c>
    </row>
    <row r="428" customFormat="false" ht="15" hidden="false" customHeight="false" outlineLevel="0" collapsed="false">
      <c r="A428" s="22" t="n">
        <v>44623</v>
      </c>
      <c r="B428" s="23" t="n">
        <v>4</v>
      </c>
    </row>
    <row r="429" customFormat="false" ht="15" hidden="false" customHeight="false" outlineLevel="0" collapsed="false">
      <c r="A429" s="22" t="n">
        <v>44624</v>
      </c>
      <c r="B429" s="23" t="n">
        <v>4</v>
      </c>
    </row>
    <row r="430" customFormat="false" ht="15" hidden="false" customHeight="false" outlineLevel="0" collapsed="false">
      <c r="A430" s="22" t="n">
        <v>44625</v>
      </c>
      <c r="B430" s="23" t="n">
        <v>4</v>
      </c>
    </row>
    <row r="431" customFormat="false" ht="15" hidden="false" customHeight="false" outlineLevel="0" collapsed="false">
      <c r="A431" s="22" t="n">
        <v>44626</v>
      </c>
      <c r="B431" s="23" t="n">
        <v>4</v>
      </c>
    </row>
    <row r="432" customFormat="false" ht="15" hidden="false" customHeight="false" outlineLevel="0" collapsed="false">
      <c r="A432" s="22" t="n">
        <v>44627</v>
      </c>
      <c r="B432" s="23" t="n">
        <v>4</v>
      </c>
    </row>
    <row r="433" customFormat="false" ht="15" hidden="false" customHeight="false" outlineLevel="0" collapsed="false">
      <c r="A433" s="22" t="n">
        <v>44628</v>
      </c>
      <c r="B433" s="23" t="n">
        <v>4</v>
      </c>
    </row>
    <row r="434" customFormat="false" ht="15" hidden="false" customHeight="false" outlineLevel="0" collapsed="false">
      <c r="A434" s="22" t="n">
        <v>44629</v>
      </c>
      <c r="B434" s="23" t="n">
        <v>4</v>
      </c>
    </row>
    <row r="435" customFormat="false" ht="15" hidden="false" customHeight="false" outlineLevel="0" collapsed="false">
      <c r="A435" s="22" t="n">
        <v>44630</v>
      </c>
      <c r="B435" s="23" t="n">
        <v>4</v>
      </c>
    </row>
    <row r="436" customFormat="false" ht="15" hidden="false" customHeight="false" outlineLevel="0" collapsed="false">
      <c r="A436" s="22" t="n">
        <v>44631</v>
      </c>
      <c r="B436" s="23" t="n">
        <v>4</v>
      </c>
    </row>
    <row r="437" customFormat="false" ht="15" hidden="false" customHeight="false" outlineLevel="0" collapsed="false">
      <c r="A437" s="22" t="n">
        <v>44632</v>
      </c>
      <c r="B437" s="23" t="n">
        <v>4</v>
      </c>
    </row>
    <row r="438" customFormat="false" ht="15" hidden="false" customHeight="false" outlineLevel="0" collapsed="false">
      <c r="A438" s="22" t="n">
        <v>44633</v>
      </c>
      <c r="B438" s="23" t="n">
        <v>4</v>
      </c>
    </row>
    <row r="439" customFormat="false" ht="15" hidden="false" customHeight="false" outlineLevel="0" collapsed="false">
      <c r="A439" s="22" t="n">
        <v>44634</v>
      </c>
      <c r="B439" s="23" t="n">
        <v>4</v>
      </c>
    </row>
    <row r="440" customFormat="false" ht="15" hidden="false" customHeight="false" outlineLevel="0" collapsed="false">
      <c r="A440" s="22" t="n">
        <v>44635</v>
      </c>
      <c r="B440" s="23" t="n">
        <v>4</v>
      </c>
    </row>
    <row r="441" customFormat="false" ht="15" hidden="false" customHeight="false" outlineLevel="0" collapsed="false">
      <c r="A441" s="22" t="n">
        <v>44636</v>
      </c>
      <c r="B441" s="23" t="n">
        <v>4</v>
      </c>
    </row>
    <row r="442" customFormat="false" ht="15" hidden="false" customHeight="false" outlineLevel="0" collapsed="false">
      <c r="A442" s="22" t="n">
        <v>44637</v>
      </c>
      <c r="B442" s="23" t="n">
        <v>4</v>
      </c>
    </row>
    <row r="443" customFormat="false" ht="15" hidden="false" customHeight="false" outlineLevel="0" collapsed="false">
      <c r="A443" s="22" t="n">
        <v>44638</v>
      </c>
      <c r="B443" s="23" t="n">
        <v>4</v>
      </c>
    </row>
    <row r="444" customFormat="false" ht="15" hidden="false" customHeight="false" outlineLevel="0" collapsed="false">
      <c r="A444" s="22" t="n">
        <v>44639</v>
      </c>
      <c r="B444" s="23" t="n">
        <v>4</v>
      </c>
    </row>
    <row r="445" customFormat="false" ht="15" hidden="false" customHeight="false" outlineLevel="0" collapsed="false">
      <c r="A445" s="22" t="n">
        <v>44640</v>
      </c>
      <c r="B445" s="23" t="n">
        <v>4</v>
      </c>
    </row>
    <row r="446" customFormat="false" ht="15" hidden="false" customHeight="false" outlineLevel="0" collapsed="false">
      <c r="A446" s="22" t="n">
        <v>44641</v>
      </c>
      <c r="B446" s="23" t="n">
        <v>4</v>
      </c>
    </row>
    <row r="447" customFormat="false" ht="15" hidden="false" customHeight="false" outlineLevel="0" collapsed="false">
      <c r="A447" s="22" t="n">
        <v>44642</v>
      </c>
      <c r="B447" s="23" t="n">
        <v>4</v>
      </c>
    </row>
    <row r="448" customFormat="false" ht="15" hidden="false" customHeight="false" outlineLevel="0" collapsed="false">
      <c r="A448" s="22" t="n">
        <v>44643</v>
      </c>
      <c r="B448" s="23" t="n">
        <v>4</v>
      </c>
    </row>
    <row r="449" customFormat="false" ht="15" hidden="false" customHeight="false" outlineLevel="0" collapsed="false">
      <c r="A449" s="22" t="n">
        <v>44644</v>
      </c>
      <c r="B449" s="23" t="n">
        <v>4</v>
      </c>
    </row>
    <row r="450" customFormat="false" ht="15" hidden="false" customHeight="false" outlineLevel="0" collapsed="false">
      <c r="A450" s="22" t="n">
        <v>44645</v>
      </c>
      <c r="B450" s="23" t="n">
        <v>4</v>
      </c>
    </row>
    <row r="451" customFormat="false" ht="15" hidden="false" customHeight="false" outlineLevel="0" collapsed="false">
      <c r="A451" s="22" t="n">
        <v>44646</v>
      </c>
      <c r="B451" s="23" t="n">
        <v>4</v>
      </c>
    </row>
    <row r="452" customFormat="false" ht="15" hidden="false" customHeight="false" outlineLevel="0" collapsed="false">
      <c r="A452" s="22" t="n">
        <v>44647</v>
      </c>
      <c r="B452" s="23" t="n">
        <v>4</v>
      </c>
    </row>
    <row r="453" customFormat="false" ht="15" hidden="false" customHeight="false" outlineLevel="0" collapsed="false">
      <c r="A453" s="22" t="n">
        <v>44648</v>
      </c>
      <c r="B453" s="23" t="n">
        <v>4</v>
      </c>
    </row>
    <row r="454" customFormat="false" ht="15" hidden="false" customHeight="false" outlineLevel="0" collapsed="false">
      <c r="A454" s="22" t="n">
        <v>44649</v>
      </c>
      <c r="B454" s="23" t="n">
        <v>4</v>
      </c>
    </row>
    <row r="455" customFormat="false" ht="15" hidden="false" customHeight="false" outlineLevel="0" collapsed="false">
      <c r="A455" s="22" t="n">
        <v>44650</v>
      </c>
      <c r="B455" s="23" t="n">
        <v>4</v>
      </c>
    </row>
    <row r="456" customFormat="false" ht="15" hidden="false" customHeight="false" outlineLevel="0" collapsed="false">
      <c r="A456" s="22" t="n">
        <v>44651</v>
      </c>
      <c r="B456" s="23" t="n">
        <v>4</v>
      </c>
    </row>
    <row r="457" customFormat="false" ht="15" hidden="false" customHeight="false" outlineLevel="0" collapsed="false">
      <c r="A457" s="22" t="n">
        <v>44652</v>
      </c>
      <c r="B457" s="23" t="n">
        <v>5</v>
      </c>
    </row>
    <row r="458" customFormat="false" ht="15" hidden="false" customHeight="false" outlineLevel="0" collapsed="false">
      <c r="A458" s="22" t="n">
        <v>44653</v>
      </c>
      <c r="B458" s="23" t="n">
        <v>5</v>
      </c>
    </row>
    <row r="459" customFormat="false" ht="15" hidden="false" customHeight="false" outlineLevel="0" collapsed="false">
      <c r="A459" s="22" t="n">
        <v>44654</v>
      </c>
      <c r="B459" s="23" t="n">
        <v>5</v>
      </c>
    </row>
    <row r="460" customFormat="false" ht="15" hidden="false" customHeight="false" outlineLevel="0" collapsed="false">
      <c r="A460" s="22" t="n">
        <v>44655</v>
      </c>
      <c r="B460" s="23" t="n">
        <v>5</v>
      </c>
    </row>
    <row r="461" customFormat="false" ht="15" hidden="false" customHeight="false" outlineLevel="0" collapsed="false">
      <c r="A461" s="22" t="n">
        <v>44656</v>
      </c>
      <c r="B461" s="23" t="n">
        <v>5</v>
      </c>
    </row>
    <row r="462" customFormat="false" ht="15" hidden="false" customHeight="false" outlineLevel="0" collapsed="false">
      <c r="A462" s="22" t="n">
        <v>44657</v>
      </c>
      <c r="B462" s="23" t="n">
        <v>5</v>
      </c>
    </row>
    <row r="463" customFormat="false" ht="15" hidden="false" customHeight="false" outlineLevel="0" collapsed="false">
      <c r="A463" s="22" t="n">
        <v>44658</v>
      </c>
      <c r="B463" s="23" t="n">
        <v>5</v>
      </c>
    </row>
    <row r="464" customFormat="false" ht="15" hidden="false" customHeight="false" outlineLevel="0" collapsed="false">
      <c r="A464" s="22" t="n">
        <v>44659</v>
      </c>
      <c r="B464" s="23" t="n">
        <v>5</v>
      </c>
    </row>
    <row r="465" customFormat="false" ht="15" hidden="false" customHeight="false" outlineLevel="0" collapsed="false">
      <c r="A465" s="22" t="n">
        <v>44660</v>
      </c>
      <c r="B465" s="23" t="n">
        <v>5</v>
      </c>
    </row>
    <row r="466" customFormat="false" ht="15" hidden="false" customHeight="false" outlineLevel="0" collapsed="false">
      <c r="A466" s="22" t="n">
        <v>44661</v>
      </c>
      <c r="B466" s="23" t="n">
        <v>5</v>
      </c>
    </row>
    <row r="467" customFormat="false" ht="15" hidden="false" customHeight="false" outlineLevel="0" collapsed="false">
      <c r="A467" s="22" t="n">
        <v>44662</v>
      </c>
      <c r="B467" s="23" t="n">
        <v>5</v>
      </c>
    </row>
    <row r="468" customFormat="false" ht="15" hidden="false" customHeight="false" outlineLevel="0" collapsed="false">
      <c r="A468" s="22" t="n">
        <v>44663</v>
      </c>
      <c r="B468" s="23" t="n">
        <v>5</v>
      </c>
    </row>
    <row r="469" customFormat="false" ht="15" hidden="false" customHeight="false" outlineLevel="0" collapsed="false">
      <c r="A469" s="22" t="n">
        <v>44664</v>
      </c>
      <c r="B469" s="23" t="n">
        <v>5</v>
      </c>
    </row>
    <row r="470" customFormat="false" ht="15" hidden="false" customHeight="false" outlineLevel="0" collapsed="false">
      <c r="A470" s="22" t="n">
        <v>44665</v>
      </c>
      <c r="B470" s="23" t="n">
        <v>5</v>
      </c>
    </row>
    <row r="471" customFormat="false" ht="15" hidden="false" customHeight="false" outlineLevel="0" collapsed="false">
      <c r="A471" s="22" t="n">
        <v>44666</v>
      </c>
      <c r="B471" s="23" t="n">
        <v>5</v>
      </c>
    </row>
    <row r="472" customFormat="false" ht="15" hidden="false" customHeight="false" outlineLevel="0" collapsed="false">
      <c r="A472" s="22" t="n">
        <v>44667</v>
      </c>
      <c r="B472" s="23" t="n">
        <v>5</v>
      </c>
    </row>
    <row r="473" customFormat="false" ht="15" hidden="false" customHeight="false" outlineLevel="0" collapsed="false">
      <c r="A473" s="22" t="n">
        <v>44668</v>
      </c>
      <c r="B473" s="23" t="n">
        <v>5</v>
      </c>
    </row>
    <row r="474" customFormat="false" ht="15" hidden="false" customHeight="false" outlineLevel="0" collapsed="false">
      <c r="A474" s="22" t="n">
        <v>44669</v>
      </c>
      <c r="B474" s="23" t="n">
        <v>5</v>
      </c>
    </row>
    <row r="475" customFormat="false" ht="15" hidden="false" customHeight="false" outlineLevel="0" collapsed="false">
      <c r="A475" s="22" t="n">
        <v>44670</v>
      </c>
      <c r="B475" s="23" t="n">
        <v>5</v>
      </c>
    </row>
    <row r="476" customFormat="false" ht="15" hidden="false" customHeight="false" outlineLevel="0" collapsed="false">
      <c r="A476" s="22" t="n">
        <v>44671</v>
      </c>
      <c r="B476" s="23" t="n">
        <v>5</v>
      </c>
    </row>
    <row r="477" customFormat="false" ht="15" hidden="false" customHeight="false" outlineLevel="0" collapsed="false">
      <c r="A477" s="22" t="n">
        <v>44672</v>
      </c>
      <c r="B477" s="23" t="n">
        <v>5</v>
      </c>
    </row>
    <row r="478" customFormat="false" ht="15" hidden="false" customHeight="false" outlineLevel="0" collapsed="false">
      <c r="A478" s="22" t="n">
        <v>44673</v>
      </c>
      <c r="B478" s="23" t="n">
        <v>5</v>
      </c>
    </row>
    <row r="479" customFormat="false" ht="15" hidden="false" customHeight="false" outlineLevel="0" collapsed="false">
      <c r="A479" s="22" t="n">
        <v>44674</v>
      </c>
      <c r="B479" s="23" t="n">
        <v>5</v>
      </c>
    </row>
    <row r="480" customFormat="false" ht="15" hidden="false" customHeight="false" outlineLevel="0" collapsed="false">
      <c r="A480" s="22" t="n">
        <v>44675</v>
      </c>
      <c r="B480" s="23" t="n">
        <v>5</v>
      </c>
    </row>
    <row r="481" customFormat="false" ht="15" hidden="false" customHeight="false" outlineLevel="0" collapsed="false">
      <c r="A481" s="22" t="n">
        <v>44676</v>
      </c>
      <c r="B481" s="23" t="n">
        <v>5</v>
      </c>
    </row>
    <row r="482" customFormat="false" ht="15" hidden="false" customHeight="false" outlineLevel="0" collapsed="false">
      <c r="A482" s="22" t="n">
        <v>44677</v>
      </c>
      <c r="B482" s="23" t="n">
        <v>5</v>
      </c>
    </row>
    <row r="483" customFormat="false" ht="15" hidden="false" customHeight="false" outlineLevel="0" collapsed="false">
      <c r="A483" s="22" t="n">
        <v>44678</v>
      </c>
      <c r="B483" s="23" t="n">
        <v>5</v>
      </c>
    </row>
    <row r="484" customFormat="false" ht="15" hidden="false" customHeight="false" outlineLevel="0" collapsed="false">
      <c r="A484" s="22" t="n">
        <v>44679</v>
      </c>
      <c r="B484" s="23" t="n">
        <v>5</v>
      </c>
    </row>
    <row r="485" customFormat="false" ht="15" hidden="false" customHeight="false" outlineLevel="0" collapsed="false">
      <c r="A485" s="22" t="n">
        <v>44680</v>
      </c>
      <c r="B485" s="23" t="n">
        <v>5</v>
      </c>
    </row>
    <row r="486" customFormat="false" ht="15" hidden="false" customHeight="false" outlineLevel="0" collapsed="false">
      <c r="A486" s="22" t="n">
        <v>44681</v>
      </c>
      <c r="B486" s="23" t="n">
        <v>5</v>
      </c>
    </row>
    <row r="487" customFormat="false" ht="15" hidden="false" customHeight="false" outlineLevel="0" collapsed="false">
      <c r="A487" s="22" t="n">
        <v>44682</v>
      </c>
      <c r="B487" s="23" t="n">
        <v>5</v>
      </c>
    </row>
    <row r="488" customFormat="false" ht="15" hidden="false" customHeight="false" outlineLevel="0" collapsed="false">
      <c r="A488" s="22" t="n">
        <v>44683</v>
      </c>
      <c r="B488" s="23" t="n">
        <v>6</v>
      </c>
    </row>
    <row r="489" customFormat="false" ht="15" hidden="false" customHeight="false" outlineLevel="0" collapsed="false">
      <c r="A489" s="22" t="n">
        <v>44684</v>
      </c>
      <c r="B489" s="23" t="n">
        <v>6</v>
      </c>
    </row>
    <row r="490" customFormat="false" ht="15" hidden="false" customHeight="false" outlineLevel="0" collapsed="false">
      <c r="A490" s="22" t="n">
        <v>44685</v>
      </c>
      <c r="B490" s="23" t="n">
        <v>6</v>
      </c>
    </row>
    <row r="491" customFormat="false" ht="15" hidden="false" customHeight="false" outlineLevel="0" collapsed="false">
      <c r="A491" s="22" t="n">
        <v>44686</v>
      </c>
      <c r="B491" s="23" t="n">
        <v>6</v>
      </c>
    </row>
    <row r="492" customFormat="false" ht="15" hidden="false" customHeight="false" outlineLevel="0" collapsed="false">
      <c r="A492" s="22" t="n">
        <v>44687</v>
      </c>
      <c r="B492" s="23" t="n">
        <v>6</v>
      </c>
    </row>
    <row r="493" customFormat="false" ht="15" hidden="false" customHeight="false" outlineLevel="0" collapsed="false">
      <c r="A493" s="22" t="n">
        <v>44688</v>
      </c>
      <c r="B493" s="23" t="n">
        <v>6</v>
      </c>
    </row>
    <row r="494" customFormat="false" ht="15" hidden="false" customHeight="false" outlineLevel="0" collapsed="false">
      <c r="A494" s="22" t="n">
        <v>44689</v>
      </c>
      <c r="B494" s="23" t="n">
        <v>6</v>
      </c>
    </row>
    <row r="495" customFormat="false" ht="15" hidden="false" customHeight="false" outlineLevel="0" collapsed="false">
      <c r="A495" s="22" t="n">
        <v>44690</v>
      </c>
      <c r="B495" s="23" t="n">
        <v>6</v>
      </c>
    </row>
    <row r="496" customFormat="false" ht="15" hidden="false" customHeight="false" outlineLevel="0" collapsed="false">
      <c r="A496" s="22" t="n">
        <v>44691</v>
      </c>
      <c r="B496" s="23" t="n">
        <v>6</v>
      </c>
    </row>
    <row r="497" customFormat="false" ht="15" hidden="false" customHeight="false" outlineLevel="0" collapsed="false">
      <c r="A497" s="22" t="n">
        <v>44692</v>
      </c>
      <c r="B497" s="23" t="n">
        <v>6</v>
      </c>
    </row>
    <row r="498" customFormat="false" ht="15" hidden="false" customHeight="false" outlineLevel="0" collapsed="false">
      <c r="A498" s="22" t="n">
        <v>44693</v>
      </c>
      <c r="B498" s="23" t="n">
        <v>6</v>
      </c>
    </row>
    <row r="499" customFormat="false" ht="15" hidden="false" customHeight="false" outlineLevel="0" collapsed="false">
      <c r="A499" s="22" t="n">
        <v>44694</v>
      </c>
      <c r="B499" s="23" t="n">
        <v>6</v>
      </c>
    </row>
    <row r="500" customFormat="false" ht="15" hidden="false" customHeight="false" outlineLevel="0" collapsed="false">
      <c r="A500" s="22" t="n">
        <v>44695</v>
      </c>
      <c r="B500" s="23" t="n">
        <v>6</v>
      </c>
    </row>
    <row r="501" customFormat="false" ht="15" hidden="false" customHeight="false" outlineLevel="0" collapsed="false">
      <c r="A501" s="22" t="n">
        <v>44696</v>
      </c>
      <c r="B501" s="23" t="n">
        <v>6</v>
      </c>
    </row>
    <row r="502" customFormat="false" ht="15" hidden="false" customHeight="false" outlineLevel="0" collapsed="false">
      <c r="A502" s="22" t="n">
        <v>44697</v>
      </c>
      <c r="B502" s="23" t="n">
        <v>6</v>
      </c>
    </row>
    <row r="503" customFormat="false" ht="15" hidden="false" customHeight="false" outlineLevel="0" collapsed="false">
      <c r="A503" s="22" t="n">
        <v>44698</v>
      </c>
      <c r="B503" s="23" t="n">
        <v>6</v>
      </c>
    </row>
    <row r="504" customFormat="false" ht="15" hidden="false" customHeight="false" outlineLevel="0" collapsed="false">
      <c r="A504" s="22" t="n">
        <v>44699</v>
      </c>
      <c r="B504" s="23" t="n">
        <v>6</v>
      </c>
    </row>
    <row r="505" customFormat="false" ht="15" hidden="false" customHeight="false" outlineLevel="0" collapsed="false">
      <c r="A505" s="22" t="n">
        <v>44700</v>
      </c>
      <c r="B505" s="23" t="n">
        <v>6</v>
      </c>
    </row>
    <row r="506" customFormat="false" ht="15" hidden="false" customHeight="false" outlineLevel="0" collapsed="false">
      <c r="A506" s="22" t="n">
        <v>44701</v>
      </c>
      <c r="B506" s="23" t="n">
        <v>6</v>
      </c>
    </row>
    <row r="507" customFormat="false" ht="15" hidden="false" customHeight="false" outlineLevel="0" collapsed="false">
      <c r="A507" s="22" t="n">
        <v>44702</v>
      </c>
      <c r="B507" s="23" t="n">
        <v>6</v>
      </c>
    </row>
    <row r="508" customFormat="false" ht="15" hidden="false" customHeight="false" outlineLevel="0" collapsed="false">
      <c r="A508" s="22" t="n">
        <v>44703</v>
      </c>
      <c r="B508" s="23" t="n">
        <v>6</v>
      </c>
    </row>
    <row r="509" customFormat="false" ht="15" hidden="false" customHeight="false" outlineLevel="0" collapsed="false">
      <c r="A509" s="22" t="n">
        <v>44704</v>
      </c>
      <c r="B509" s="23" t="n">
        <v>6</v>
      </c>
    </row>
    <row r="510" customFormat="false" ht="15" hidden="false" customHeight="false" outlineLevel="0" collapsed="false">
      <c r="A510" s="22" t="n">
        <v>44705</v>
      </c>
      <c r="B510" s="23" t="n">
        <v>6</v>
      </c>
    </row>
    <row r="511" customFormat="false" ht="15" hidden="false" customHeight="false" outlineLevel="0" collapsed="false">
      <c r="A511" s="22" t="n">
        <v>44706</v>
      </c>
      <c r="B511" s="23" t="n">
        <v>6</v>
      </c>
    </row>
    <row r="512" customFormat="false" ht="15" hidden="false" customHeight="false" outlineLevel="0" collapsed="false">
      <c r="A512" s="22" t="n">
        <v>44707</v>
      </c>
      <c r="B512" s="23" t="n">
        <v>6</v>
      </c>
    </row>
    <row r="513" customFormat="false" ht="15" hidden="false" customHeight="false" outlineLevel="0" collapsed="false">
      <c r="A513" s="22" t="n">
        <v>44708</v>
      </c>
      <c r="B513" s="23" t="n">
        <v>6</v>
      </c>
    </row>
    <row r="514" customFormat="false" ht="15" hidden="false" customHeight="false" outlineLevel="0" collapsed="false">
      <c r="A514" s="22" t="n">
        <v>44709</v>
      </c>
      <c r="B514" s="23" t="n">
        <v>6</v>
      </c>
    </row>
    <row r="515" customFormat="false" ht="15" hidden="false" customHeight="false" outlineLevel="0" collapsed="false">
      <c r="A515" s="22" t="n">
        <v>44710</v>
      </c>
      <c r="B515" s="23" t="n">
        <v>6</v>
      </c>
    </row>
    <row r="516" customFormat="false" ht="15" hidden="false" customHeight="false" outlineLevel="0" collapsed="false">
      <c r="A516" s="22" t="n">
        <v>44711</v>
      </c>
      <c r="B516" s="23" t="n">
        <v>6</v>
      </c>
    </row>
    <row r="517" customFormat="false" ht="15" hidden="false" customHeight="false" outlineLevel="0" collapsed="false">
      <c r="A517" s="22" t="n">
        <v>44712</v>
      </c>
      <c r="B517" s="23" t="n">
        <v>6</v>
      </c>
    </row>
    <row r="518" customFormat="false" ht="15" hidden="false" customHeight="false" outlineLevel="0" collapsed="false">
      <c r="A518" s="22" t="n">
        <v>44713</v>
      </c>
      <c r="B518" s="23" t="n">
        <v>6</v>
      </c>
    </row>
    <row r="519" customFormat="false" ht="15" hidden="false" customHeight="false" outlineLevel="0" collapsed="false">
      <c r="A519" s="22" t="n">
        <v>44714</v>
      </c>
      <c r="B519" s="23" t="n">
        <v>6</v>
      </c>
    </row>
    <row r="520" customFormat="false" ht="15" hidden="false" customHeight="false" outlineLevel="0" collapsed="false">
      <c r="A520" s="22" t="n">
        <v>44715</v>
      </c>
      <c r="B520" s="23" t="n">
        <v>6</v>
      </c>
    </row>
    <row r="521" customFormat="false" ht="15" hidden="false" customHeight="false" outlineLevel="0" collapsed="false">
      <c r="A521" s="22" t="n">
        <v>44716</v>
      </c>
      <c r="B521" s="23" t="n">
        <v>6</v>
      </c>
    </row>
    <row r="522" customFormat="false" ht="15" hidden="false" customHeight="false" outlineLevel="0" collapsed="false">
      <c r="A522" s="22" t="n">
        <v>44717</v>
      </c>
      <c r="B522" s="23" t="n">
        <v>6</v>
      </c>
    </row>
    <row r="523" customFormat="false" ht="15" hidden="false" customHeight="false" outlineLevel="0" collapsed="false">
      <c r="A523" s="22" t="n">
        <v>44718</v>
      </c>
      <c r="B523" s="23" t="n">
        <v>6</v>
      </c>
    </row>
    <row r="524" customFormat="false" ht="15" hidden="false" customHeight="false" outlineLevel="0" collapsed="false">
      <c r="A524" s="22" t="n">
        <v>44719</v>
      </c>
      <c r="B524" s="23" t="n">
        <v>6</v>
      </c>
    </row>
    <row r="525" customFormat="false" ht="15" hidden="false" customHeight="false" outlineLevel="0" collapsed="false">
      <c r="A525" s="22" t="n">
        <v>44720</v>
      </c>
      <c r="B525" s="23" t="n">
        <v>6</v>
      </c>
    </row>
    <row r="526" customFormat="false" ht="15" hidden="false" customHeight="false" outlineLevel="0" collapsed="false">
      <c r="A526" s="22" t="n">
        <v>44721</v>
      </c>
      <c r="B526" s="23" t="n">
        <v>6</v>
      </c>
    </row>
    <row r="527" customFormat="false" ht="15" hidden="false" customHeight="false" outlineLevel="0" collapsed="false">
      <c r="A527" s="22" t="n">
        <v>44722</v>
      </c>
      <c r="B527" s="23" t="n">
        <v>6</v>
      </c>
    </row>
    <row r="528" customFormat="false" ht="15" hidden="false" customHeight="false" outlineLevel="0" collapsed="false">
      <c r="A528" s="22" t="n">
        <v>44723</v>
      </c>
      <c r="B528" s="23" t="n">
        <v>6</v>
      </c>
    </row>
    <row r="529" customFormat="false" ht="15" hidden="false" customHeight="false" outlineLevel="0" collapsed="false">
      <c r="A529" s="22" t="n">
        <v>44724</v>
      </c>
      <c r="B529" s="23" t="n">
        <v>6</v>
      </c>
    </row>
    <row r="530" customFormat="false" ht="15" hidden="false" customHeight="false" outlineLevel="0" collapsed="false">
      <c r="A530" s="22" t="n">
        <v>44725</v>
      </c>
      <c r="B530" s="23" t="n">
        <v>6</v>
      </c>
    </row>
    <row r="531" customFormat="false" ht="15" hidden="false" customHeight="false" outlineLevel="0" collapsed="false">
      <c r="A531" s="22" t="n">
        <v>44726</v>
      </c>
      <c r="B531" s="23" t="n">
        <v>6</v>
      </c>
    </row>
    <row r="532" customFormat="false" ht="15" hidden="false" customHeight="false" outlineLevel="0" collapsed="false">
      <c r="A532" s="22" t="n">
        <v>44727</v>
      </c>
      <c r="B532" s="23" t="n">
        <v>6</v>
      </c>
    </row>
    <row r="533" customFormat="false" ht="15" hidden="false" customHeight="false" outlineLevel="0" collapsed="false">
      <c r="A533" s="22" t="n">
        <v>44728</v>
      </c>
      <c r="B533" s="23" t="n">
        <v>6</v>
      </c>
    </row>
    <row r="534" customFormat="false" ht="15" hidden="false" customHeight="false" outlineLevel="0" collapsed="false">
      <c r="A534" s="22" t="n">
        <v>44729</v>
      </c>
      <c r="B534" s="23" t="n">
        <v>6</v>
      </c>
    </row>
    <row r="535" customFormat="false" ht="15" hidden="false" customHeight="false" outlineLevel="0" collapsed="false">
      <c r="A535" s="22" t="n">
        <v>44730</v>
      </c>
      <c r="B535" s="23" t="n">
        <v>6</v>
      </c>
    </row>
    <row r="536" customFormat="false" ht="15" hidden="false" customHeight="false" outlineLevel="0" collapsed="false">
      <c r="A536" s="22" t="n">
        <v>44731</v>
      </c>
      <c r="B536" s="23" t="n">
        <v>6</v>
      </c>
    </row>
    <row r="537" customFormat="false" ht="15" hidden="false" customHeight="false" outlineLevel="0" collapsed="false">
      <c r="A537" s="22" t="n">
        <v>44732</v>
      </c>
      <c r="B537" s="23" t="n">
        <v>6</v>
      </c>
    </row>
    <row r="538" customFormat="false" ht="15" hidden="false" customHeight="false" outlineLevel="0" collapsed="false">
      <c r="A538" s="22" t="n">
        <v>44733</v>
      </c>
      <c r="B538" s="23" t="n">
        <v>6</v>
      </c>
    </row>
    <row r="539" customFormat="false" ht="15" hidden="false" customHeight="false" outlineLevel="0" collapsed="false">
      <c r="A539" s="22" t="n">
        <v>44734</v>
      </c>
      <c r="B539" s="23" t="n">
        <v>6</v>
      </c>
    </row>
    <row r="540" customFormat="false" ht="15" hidden="false" customHeight="false" outlineLevel="0" collapsed="false">
      <c r="A540" s="22" t="n">
        <v>44735</v>
      </c>
      <c r="B540" s="23" t="n">
        <v>6</v>
      </c>
    </row>
    <row r="541" customFormat="false" ht="15" hidden="false" customHeight="false" outlineLevel="0" collapsed="false">
      <c r="A541" s="22" t="n">
        <v>44736</v>
      </c>
      <c r="B541" s="23" t="n">
        <v>6</v>
      </c>
    </row>
    <row r="542" customFormat="false" ht="15" hidden="false" customHeight="false" outlineLevel="0" collapsed="false">
      <c r="A542" s="22" t="n">
        <v>44737</v>
      </c>
      <c r="B542" s="23" t="n">
        <v>6</v>
      </c>
    </row>
    <row r="543" customFormat="false" ht="15" hidden="false" customHeight="false" outlineLevel="0" collapsed="false">
      <c r="A543" s="22" t="n">
        <v>44738</v>
      </c>
      <c r="B543" s="23" t="n">
        <v>6</v>
      </c>
    </row>
    <row r="544" customFormat="false" ht="15" hidden="false" customHeight="false" outlineLevel="0" collapsed="false">
      <c r="A544" s="22" t="n">
        <v>44739</v>
      </c>
      <c r="B544" s="23" t="n">
        <v>6</v>
      </c>
    </row>
    <row r="545" customFormat="false" ht="15" hidden="false" customHeight="false" outlineLevel="0" collapsed="false">
      <c r="A545" s="22" t="n">
        <v>44740</v>
      </c>
      <c r="B545" s="23" t="n">
        <v>6</v>
      </c>
    </row>
    <row r="546" customFormat="false" ht="15" hidden="false" customHeight="false" outlineLevel="0" collapsed="false">
      <c r="A546" s="22" t="n">
        <v>44741</v>
      </c>
      <c r="B546" s="23" t="n">
        <v>6</v>
      </c>
    </row>
    <row r="547" customFormat="false" ht="15" hidden="false" customHeight="false" outlineLevel="0" collapsed="false">
      <c r="A547" s="22" t="n">
        <v>44742</v>
      </c>
      <c r="B547" s="23" t="n">
        <v>6</v>
      </c>
    </row>
    <row r="548" customFormat="false" ht="15" hidden="false" customHeight="false" outlineLevel="0" collapsed="false">
      <c r="A548" s="22" t="n">
        <v>44743</v>
      </c>
      <c r="B548" s="23" t="n">
        <v>7.5</v>
      </c>
    </row>
    <row r="549" customFormat="false" ht="15" hidden="false" customHeight="false" outlineLevel="0" collapsed="false">
      <c r="A549" s="22" t="n">
        <v>44744</v>
      </c>
      <c r="B549" s="23" t="n">
        <v>7.5</v>
      </c>
    </row>
    <row r="550" customFormat="false" ht="15" hidden="false" customHeight="false" outlineLevel="0" collapsed="false">
      <c r="A550" s="22" t="n">
        <v>44745</v>
      </c>
      <c r="B550" s="23" t="n">
        <v>7.5</v>
      </c>
    </row>
    <row r="551" customFormat="false" ht="15" hidden="false" customHeight="false" outlineLevel="0" collapsed="false">
      <c r="A551" s="22" t="n">
        <v>44746</v>
      </c>
      <c r="B551" s="23" t="n">
        <v>7.5</v>
      </c>
    </row>
    <row r="552" customFormat="false" ht="15" hidden="false" customHeight="false" outlineLevel="0" collapsed="false">
      <c r="A552" s="22" t="n">
        <v>44747</v>
      </c>
      <c r="B552" s="23" t="n">
        <v>7.5</v>
      </c>
    </row>
    <row r="553" customFormat="false" ht="15" hidden="false" customHeight="false" outlineLevel="0" collapsed="false">
      <c r="A553" s="22" t="n">
        <v>44748</v>
      </c>
      <c r="B553" s="23" t="n">
        <v>7.5</v>
      </c>
    </row>
    <row r="554" customFormat="false" ht="15" hidden="false" customHeight="false" outlineLevel="0" collapsed="false">
      <c r="A554" s="22" t="n">
        <v>44749</v>
      </c>
      <c r="B554" s="23" t="n">
        <v>7.5</v>
      </c>
    </row>
    <row r="555" customFormat="false" ht="15" hidden="false" customHeight="false" outlineLevel="0" collapsed="false">
      <c r="A555" s="22" t="n">
        <v>44750</v>
      </c>
      <c r="B555" s="23" t="n">
        <v>7.5</v>
      </c>
    </row>
    <row r="556" customFormat="false" ht="15" hidden="false" customHeight="false" outlineLevel="0" collapsed="false">
      <c r="A556" s="22" t="n">
        <v>44751</v>
      </c>
      <c r="B556" s="23" t="n">
        <v>7.5</v>
      </c>
    </row>
    <row r="557" customFormat="false" ht="15" hidden="false" customHeight="false" outlineLevel="0" collapsed="false">
      <c r="A557" s="22" t="n">
        <v>44752</v>
      </c>
      <c r="B557" s="23" t="n">
        <v>7.5</v>
      </c>
    </row>
    <row r="558" customFormat="false" ht="15" hidden="false" customHeight="false" outlineLevel="0" collapsed="false">
      <c r="A558" s="22" t="n">
        <v>44753</v>
      </c>
      <c r="B558" s="23" t="n">
        <v>7.5</v>
      </c>
    </row>
    <row r="559" customFormat="false" ht="15" hidden="false" customHeight="false" outlineLevel="0" collapsed="false">
      <c r="A559" s="22" t="n">
        <v>44754</v>
      </c>
      <c r="B559" s="23" t="n">
        <v>7.5</v>
      </c>
    </row>
    <row r="560" customFormat="false" ht="15" hidden="false" customHeight="false" outlineLevel="0" collapsed="false">
      <c r="A560" s="22" t="n">
        <v>44755</v>
      </c>
      <c r="B560" s="23" t="n">
        <v>7.5</v>
      </c>
    </row>
    <row r="561" customFormat="false" ht="15" hidden="false" customHeight="false" outlineLevel="0" collapsed="false">
      <c r="A561" s="22" t="n">
        <v>44756</v>
      </c>
      <c r="B561" s="23" t="n">
        <v>7.5</v>
      </c>
    </row>
    <row r="562" customFormat="false" ht="15" hidden="false" customHeight="false" outlineLevel="0" collapsed="false">
      <c r="A562" s="22" t="n">
        <v>44757</v>
      </c>
      <c r="B562" s="23" t="n">
        <v>7.5</v>
      </c>
    </row>
    <row r="563" customFormat="false" ht="15" hidden="false" customHeight="false" outlineLevel="0" collapsed="false">
      <c r="A563" s="22" t="n">
        <v>44758</v>
      </c>
      <c r="B563" s="23" t="n">
        <v>7.5</v>
      </c>
    </row>
    <row r="564" customFormat="false" ht="15" hidden="false" customHeight="false" outlineLevel="0" collapsed="false">
      <c r="A564" s="22" t="n">
        <v>44759</v>
      </c>
      <c r="B564" s="23" t="n">
        <v>7.5</v>
      </c>
    </row>
    <row r="565" customFormat="false" ht="15" hidden="false" customHeight="false" outlineLevel="0" collapsed="false">
      <c r="A565" s="22" t="n">
        <v>44760</v>
      </c>
      <c r="B565" s="23" t="n">
        <v>7.5</v>
      </c>
    </row>
    <row r="566" customFormat="false" ht="15" hidden="false" customHeight="false" outlineLevel="0" collapsed="false">
      <c r="A566" s="22" t="n">
        <v>44761</v>
      </c>
      <c r="B566" s="23" t="n">
        <v>7.5</v>
      </c>
    </row>
    <row r="567" customFormat="false" ht="15" hidden="false" customHeight="false" outlineLevel="0" collapsed="false">
      <c r="A567" s="22" t="n">
        <v>44762</v>
      </c>
      <c r="B567" s="23" t="n">
        <v>7.5</v>
      </c>
    </row>
    <row r="568" customFormat="false" ht="15" hidden="false" customHeight="false" outlineLevel="0" collapsed="false">
      <c r="A568" s="22" t="n">
        <v>44763</v>
      </c>
      <c r="B568" s="23" t="n">
        <v>7.5</v>
      </c>
    </row>
    <row r="569" customFormat="false" ht="15" hidden="false" customHeight="false" outlineLevel="0" collapsed="false">
      <c r="A569" s="22" t="n">
        <v>44764</v>
      </c>
      <c r="B569" s="23" t="n">
        <v>7.5</v>
      </c>
    </row>
    <row r="570" customFormat="false" ht="15" hidden="false" customHeight="false" outlineLevel="0" collapsed="false">
      <c r="A570" s="22" t="n">
        <v>44765</v>
      </c>
      <c r="B570" s="23" t="n">
        <v>7.5</v>
      </c>
    </row>
    <row r="571" customFormat="false" ht="15" hidden="false" customHeight="false" outlineLevel="0" collapsed="false">
      <c r="A571" s="22" t="n">
        <v>44766</v>
      </c>
      <c r="B571" s="23" t="n">
        <v>7.5</v>
      </c>
    </row>
    <row r="572" customFormat="false" ht="15" hidden="false" customHeight="false" outlineLevel="0" collapsed="false">
      <c r="A572" s="22" t="n">
        <v>44767</v>
      </c>
      <c r="B572" s="23" t="n">
        <v>7.5</v>
      </c>
    </row>
    <row r="573" customFormat="false" ht="15" hidden="false" customHeight="false" outlineLevel="0" collapsed="false">
      <c r="A573" s="22" t="n">
        <v>44768</v>
      </c>
      <c r="B573" s="23" t="n">
        <v>7.5</v>
      </c>
    </row>
    <row r="574" customFormat="false" ht="15" hidden="false" customHeight="false" outlineLevel="0" collapsed="false">
      <c r="A574" s="22" t="n">
        <v>44769</v>
      </c>
      <c r="B574" s="23" t="n">
        <v>7.5</v>
      </c>
    </row>
    <row r="575" customFormat="false" ht="15" hidden="false" customHeight="false" outlineLevel="0" collapsed="false">
      <c r="A575" s="22" t="n">
        <v>44770</v>
      </c>
      <c r="B575" s="23" t="n">
        <v>7.5</v>
      </c>
    </row>
    <row r="576" customFormat="false" ht="15" hidden="false" customHeight="false" outlineLevel="0" collapsed="false">
      <c r="A576" s="22" t="n">
        <v>44771</v>
      </c>
      <c r="B576" s="23" t="n">
        <v>7.5</v>
      </c>
    </row>
    <row r="577" customFormat="false" ht="15" hidden="false" customHeight="false" outlineLevel="0" collapsed="false">
      <c r="A577" s="22" t="n">
        <v>44772</v>
      </c>
      <c r="B577" s="23" t="n">
        <v>7.5</v>
      </c>
    </row>
    <row r="578" customFormat="false" ht="15" hidden="false" customHeight="false" outlineLevel="0" collapsed="false">
      <c r="A578" s="22" t="n">
        <v>44773</v>
      </c>
      <c r="B578" s="23" t="n">
        <v>7.5</v>
      </c>
    </row>
    <row r="579" customFormat="false" ht="15" hidden="false" customHeight="false" outlineLevel="0" collapsed="false">
      <c r="A579" s="22" t="n">
        <v>44774</v>
      </c>
      <c r="B579" s="23" t="n">
        <v>9</v>
      </c>
    </row>
    <row r="580" customFormat="false" ht="15" hidden="false" customHeight="false" outlineLevel="0" collapsed="false">
      <c r="A580" s="22" t="n">
        <v>44775</v>
      </c>
      <c r="B580" s="23" t="n">
        <v>9</v>
      </c>
    </row>
    <row r="581" customFormat="false" ht="15" hidden="false" customHeight="false" outlineLevel="0" collapsed="false">
      <c r="A581" s="22" t="n">
        <v>44776</v>
      </c>
      <c r="B581" s="23" t="n">
        <v>9</v>
      </c>
    </row>
    <row r="582" customFormat="false" ht="15" hidden="false" customHeight="false" outlineLevel="0" collapsed="false">
      <c r="A582" s="22" t="n">
        <v>44777</v>
      </c>
      <c r="B582" s="23" t="n">
        <v>9</v>
      </c>
    </row>
    <row r="583" customFormat="false" ht="15" hidden="false" customHeight="false" outlineLevel="0" collapsed="false">
      <c r="A583" s="22" t="n">
        <v>44778</v>
      </c>
      <c r="B583" s="23" t="n">
        <v>9</v>
      </c>
    </row>
    <row r="584" customFormat="false" ht="15" hidden="false" customHeight="false" outlineLevel="0" collapsed="false">
      <c r="A584" s="22" t="n">
        <v>44779</v>
      </c>
      <c r="B584" s="23" t="n">
        <v>9</v>
      </c>
    </row>
    <row r="585" customFormat="false" ht="15" hidden="false" customHeight="false" outlineLevel="0" collapsed="false">
      <c r="A585" s="22" t="n">
        <v>44780</v>
      </c>
      <c r="B585" s="23" t="n">
        <v>9</v>
      </c>
    </row>
    <row r="586" customFormat="false" ht="15" hidden="false" customHeight="false" outlineLevel="0" collapsed="false">
      <c r="A586" s="22" t="n">
        <v>44781</v>
      </c>
      <c r="B586" s="23" t="n">
        <v>9</v>
      </c>
    </row>
    <row r="587" customFormat="false" ht="15" hidden="false" customHeight="false" outlineLevel="0" collapsed="false">
      <c r="A587" s="22" t="n">
        <v>44782</v>
      </c>
      <c r="B587" s="23" t="n">
        <v>9</v>
      </c>
    </row>
    <row r="588" customFormat="false" ht="15" hidden="false" customHeight="false" outlineLevel="0" collapsed="false">
      <c r="A588" s="22" t="n">
        <v>44783</v>
      </c>
      <c r="B588" s="23" t="n">
        <v>9</v>
      </c>
    </row>
    <row r="589" customFormat="false" ht="15" hidden="false" customHeight="false" outlineLevel="0" collapsed="false">
      <c r="A589" s="22" t="n">
        <v>44784</v>
      </c>
      <c r="B589" s="23" t="n">
        <v>9</v>
      </c>
    </row>
    <row r="590" customFormat="false" ht="15" hidden="false" customHeight="false" outlineLevel="0" collapsed="false">
      <c r="A590" s="22" t="n">
        <v>44785</v>
      </c>
      <c r="B590" s="23" t="n">
        <v>9</v>
      </c>
    </row>
    <row r="591" customFormat="false" ht="15" hidden="false" customHeight="false" outlineLevel="0" collapsed="false">
      <c r="A591" s="22" t="n">
        <v>44786</v>
      </c>
      <c r="B591" s="23" t="n">
        <v>9</v>
      </c>
    </row>
    <row r="592" customFormat="false" ht="15" hidden="false" customHeight="false" outlineLevel="0" collapsed="false">
      <c r="A592" s="22" t="n">
        <v>44787</v>
      </c>
      <c r="B592" s="23" t="n">
        <v>9</v>
      </c>
    </row>
    <row r="593" customFormat="false" ht="15" hidden="false" customHeight="false" outlineLevel="0" collapsed="false">
      <c r="A593" s="22" t="n">
        <v>44788</v>
      </c>
      <c r="B593" s="23" t="n">
        <v>9</v>
      </c>
    </row>
    <row r="594" customFormat="false" ht="15" hidden="false" customHeight="false" outlineLevel="0" collapsed="false">
      <c r="A594" s="22" t="n">
        <v>44789</v>
      </c>
      <c r="B594" s="23" t="n">
        <v>9</v>
      </c>
    </row>
    <row r="595" customFormat="false" ht="15" hidden="false" customHeight="false" outlineLevel="0" collapsed="false">
      <c r="A595" s="22" t="n">
        <v>44790</v>
      </c>
      <c r="B595" s="23" t="n">
        <v>9</v>
      </c>
    </row>
    <row r="596" customFormat="false" ht="15" hidden="false" customHeight="false" outlineLevel="0" collapsed="false">
      <c r="A596" s="22" t="n">
        <v>44791</v>
      </c>
      <c r="B596" s="23" t="n">
        <v>9</v>
      </c>
    </row>
    <row r="597" customFormat="false" ht="15" hidden="false" customHeight="false" outlineLevel="0" collapsed="false">
      <c r="A597" s="22" t="n">
        <v>44792</v>
      </c>
      <c r="B597" s="23" t="n">
        <v>9</v>
      </c>
    </row>
    <row r="598" customFormat="false" ht="15" hidden="false" customHeight="false" outlineLevel="0" collapsed="false">
      <c r="A598" s="22" t="n">
        <v>44793</v>
      </c>
      <c r="B598" s="23" t="n">
        <v>9</v>
      </c>
    </row>
    <row r="599" customFormat="false" ht="15" hidden="false" customHeight="false" outlineLevel="0" collapsed="false">
      <c r="A599" s="22" t="n">
        <v>44794</v>
      </c>
      <c r="B599" s="23" t="n">
        <v>9</v>
      </c>
    </row>
    <row r="600" customFormat="false" ht="15" hidden="false" customHeight="false" outlineLevel="0" collapsed="false">
      <c r="A600" s="22" t="n">
        <v>44795</v>
      </c>
      <c r="B600" s="23" t="n">
        <v>9</v>
      </c>
    </row>
    <row r="601" customFormat="false" ht="15" hidden="false" customHeight="false" outlineLevel="0" collapsed="false">
      <c r="A601" s="22" t="n">
        <v>44796</v>
      </c>
      <c r="B601" s="23" t="n">
        <v>9</v>
      </c>
    </row>
    <row r="602" customFormat="false" ht="15" hidden="false" customHeight="false" outlineLevel="0" collapsed="false">
      <c r="A602" s="22" t="n">
        <v>44797</v>
      </c>
      <c r="B602" s="23" t="n">
        <v>9</v>
      </c>
    </row>
    <row r="603" customFormat="false" ht="15" hidden="false" customHeight="false" outlineLevel="0" collapsed="false">
      <c r="A603" s="22" t="n">
        <v>44798</v>
      </c>
      <c r="B603" s="23" t="n">
        <v>9</v>
      </c>
    </row>
    <row r="604" customFormat="false" ht="15" hidden="false" customHeight="false" outlineLevel="0" collapsed="false">
      <c r="A604" s="22" t="n">
        <v>44799</v>
      </c>
      <c r="B604" s="23" t="n">
        <v>9</v>
      </c>
    </row>
    <row r="605" customFormat="false" ht="15" hidden="false" customHeight="false" outlineLevel="0" collapsed="false">
      <c r="A605" s="22" t="n">
        <v>44800</v>
      </c>
      <c r="B605" s="23" t="n">
        <v>9</v>
      </c>
    </row>
    <row r="606" customFormat="false" ht="15" hidden="false" customHeight="false" outlineLevel="0" collapsed="false">
      <c r="A606" s="22" t="n">
        <v>44801</v>
      </c>
      <c r="B606" s="23" t="n">
        <v>9</v>
      </c>
    </row>
    <row r="607" customFormat="false" ht="15" hidden="false" customHeight="false" outlineLevel="0" collapsed="false">
      <c r="A607" s="22" t="n">
        <v>44802</v>
      </c>
      <c r="B607" s="23" t="n">
        <v>9</v>
      </c>
    </row>
    <row r="608" customFormat="false" ht="15" hidden="false" customHeight="false" outlineLevel="0" collapsed="false">
      <c r="A608" s="22" t="n">
        <v>44803</v>
      </c>
      <c r="B608" s="23" t="n">
        <v>9</v>
      </c>
    </row>
    <row r="609" customFormat="false" ht="15" hidden="false" customHeight="false" outlineLevel="0" collapsed="false">
      <c r="A609" s="22" t="n">
        <v>44804</v>
      </c>
      <c r="B609" s="23" t="n">
        <v>9</v>
      </c>
    </row>
    <row r="610" customFormat="false" ht="15" hidden="false" customHeight="false" outlineLevel="0" collapsed="false">
      <c r="A610" s="22" t="n">
        <v>44805</v>
      </c>
      <c r="B610" s="23" t="n">
        <v>9</v>
      </c>
    </row>
    <row r="611" customFormat="false" ht="15" hidden="false" customHeight="false" outlineLevel="0" collapsed="false">
      <c r="A611" s="22" t="n">
        <v>44806</v>
      </c>
      <c r="B611" s="23" t="n">
        <v>9</v>
      </c>
    </row>
    <row r="612" customFormat="false" ht="15" hidden="false" customHeight="false" outlineLevel="0" collapsed="false">
      <c r="A612" s="22" t="n">
        <v>44807</v>
      </c>
      <c r="B612" s="23" t="n">
        <v>9</v>
      </c>
    </row>
    <row r="613" customFormat="false" ht="15" hidden="false" customHeight="false" outlineLevel="0" collapsed="false">
      <c r="A613" s="22" t="n">
        <v>44808</v>
      </c>
      <c r="B613" s="23" t="n">
        <v>9</v>
      </c>
    </row>
    <row r="614" customFormat="false" ht="15" hidden="false" customHeight="false" outlineLevel="0" collapsed="false">
      <c r="A614" s="22" t="n">
        <v>44809</v>
      </c>
      <c r="B614" s="23" t="n">
        <v>9</v>
      </c>
    </row>
    <row r="615" customFormat="false" ht="15" hidden="false" customHeight="false" outlineLevel="0" collapsed="false">
      <c r="A615" s="22" t="n">
        <v>44810</v>
      </c>
      <c r="B615" s="23" t="n">
        <v>9</v>
      </c>
    </row>
    <row r="616" customFormat="false" ht="15" hidden="false" customHeight="false" outlineLevel="0" collapsed="false">
      <c r="A616" s="22" t="n">
        <v>44811</v>
      </c>
      <c r="B616" s="23" t="n">
        <v>9</v>
      </c>
    </row>
    <row r="617" customFormat="false" ht="15" hidden="false" customHeight="false" outlineLevel="0" collapsed="false">
      <c r="A617" s="22" t="n">
        <v>44812</v>
      </c>
      <c r="B617" s="23" t="n">
        <v>9</v>
      </c>
    </row>
    <row r="618" customFormat="false" ht="15" hidden="false" customHeight="false" outlineLevel="0" collapsed="false">
      <c r="A618" s="22" t="n">
        <v>44813</v>
      </c>
      <c r="B618" s="23" t="n">
        <v>9</v>
      </c>
    </row>
    <row r="619" customFormat="false" ht="15" hidden="false" customHeight="false" outlineLevel="0" collapsed="false">
      <c r="A619" s="22" t="n">
        <v>44814</v>
      </c>
      <c r="B619" s="23" t="n">
        <v>9</v>
      </c>
    </row>
    <row r="620" customFormat="false" ht="15" hidden="false" customHeight="false" outlineLevel="0" collapsed="false">
      <c r="A620" s="22" t="n">
        <v>44815</v>
      </c>
      <c r="B620" s="23" t="n">
        <v>9</v>
      </c>
    </row>
    <row r="621" customFormat="false" ht="15" hidden="false" customHeight="false" outlineLevel="0" collapsed="false">
      <c r="A621" s="22" t="n">
        <v>44816</v>
      </c>
      <c r="B621" s="23" t="n">
        <v>9</v>
      </c>
    </row>
    <row r="622" customFormat="false" ht="15" hidden="false" customHeight="false" outlineLevel="0" collapsed="false">
      <c r="A622" s="22" t="n">
        <v>44817</v>
      </c>
      <c r="B622" s="23" t="n">
        <v>9</v>
      </c>
    </row>
    <row r="623" customFormat="false" ht="15" hidden="false" customHeight="false" outlineLevel="0" collapsed="false">
      <c r="A623" s="22" t="n">
        <v>44818</v>
      </c>
      <c r="B623" s="23" t="n">
        <v>9</v>
      </c>
    </row>
    <row r="624" customFormat="false" ht="15" hidden="false" customHeight="false" outlineLevel="0" collapsed="false">
      <c r="A624" s="22" t="n">
        <v>44819</v>
      </c>
      <c r="B624" s="23" t="n">
        <v>9</v>
      </c>
    </row>
    <row r="625" customFormat="false" ht="15" hidden="false" customHeight="false" outlineLevel="0" collapsed="false">
      <c r="A625" s="22" t="n">
        <v>44820</v>
      </c>
      <c r="B625" s="23" t="n">
        <v>9</v>
      </c>
    </row>
    <row r="626" customFormat="false" ht="15" hidden="false" customHeight="false" outlineLevel="0" collapsed="false">
      <c r="A626" s="22" t="n">
        <v>44821</v>
      </c>
      <c r="B626" s="23" t="n">
        <v>9</v>
      </c>
    </row>
    <row r="627" customFormat="false" ht="15" hidden="false" customHeight="false" outlineLevel="0" collapsed="false">
      <c r="A627" s="22" t="n">
        <v>44822</v>
      </c>
      <c r="B627" s="23" t="n">
        <v>9</v>
      </c>
    </row>
    <row r="628" customFormat="false" ht="15" hidden="false" customHeight="false" outlineLevel="0" collapsed="false">
      <c r="A628" s="22" t="n">
        <v>44823</v>
      </c>
      <c r="B628" s="23" t="n">
        <v>9</v>
      </c>
    </row>
    <row r="629" customFormat="false" ht="15" hidden="false" customHeight="false" outlineLevel="0" collapsed="false">
      <c r="A629" s="22" t="n">
        <v>44824</v>
      </c>
      <c r="B629" s="23" t="n">
        <v>9</v>
      </c>
    </row>
    <row r="630" customFormat="false" ht="15" hidden="false" customHeight="false" outlineLevel="0" collapsed="false">
      <c r="A630" s="22" t="n">
        <v>44825</v>
      </c>
      <c r="B630" s="23" t="n">
        <v>9</v>
      </c>
    </row>
    <row r="631" customFormat="false" ht="15" hidden="false" customHeight="false" outlineLevel="0" collapsed="false">
      <c r="A631" s="22" t="n">
        <v>44826</v>
      </c>
      <c r="B631" s="23" t="n">
        <v>9</v>
      </c>
    </row>
    <row r="632" customFormat="false" ht="15" hidden="false" customHeight="false" outlineLevel="0" collapsed="false">
      <c r="A632" s="22" t="n">
        <v>44827</v>
      </c>
      <c r="B632" s="23" t="n">
        <v>9</v>
      </c>
    </row>
    <row r="633" customFormat="false" ht="15" hidden="false" customHeight="false" outlineLevel="0" collapsed="false">
      <c r="A633" s="22" t="n">
        <v>44828</v>
      </c>
      <c r="B633" s="23" t="n">
        <v>9</v>
      </c>
    </row>
    <row r="634" customFormat="false" ht="15" hidden="false" customHeight="false" outlineLevel="0" collapsed="false">
      <c r="A634" s="22" t="n">
        <v>44829</v>
      </c>
      <c r="B634" s="23" t="n">
        <v>9</v>
      </c>
    </row>
    <row r="635" customFormat="false" ht="15" hidden="false" customHeight="false" outlineLevel="0" collapsed="false">
      <c r="A635" s="22" t="n">
        <v>44830</v>
      </c>
      <c r="B635" s="23" t="n">
        <v>9</v>
      </c>
    </row>
    <row r="636" customFormat="false" ht="15" hidden="false" customHeight="false" outlineLevel="0" collapsed="false">
      <c r="A636" s="22" t="n">
        <v>44831</v>
      </c>
      <c r="B636" s="23" t="n">
        <v>9</v>
      </c>
    </row>
    <row r="637" customFormat="false" ht="15" hidden="false" customHeight="false" outlineLevel="0" collapsed="false">
      <c r="A637" s="22" t="n">
        <v>44832</v>
      </c>
      <c r="B637" s="23" t="n">
        <v>9</v>
      </c>
    </row>
    <row r="638" customFormat="false" ht="15" hidden="false" customHeight="false" outlineLevel="0" collapsed="false">
      <c r="A638" s="22" t="n">
        <v>44833</v>
      </c>
      <c r="B638" s="23" t="n">
        <v>9</v>
      </c>
    </row>
    <row r="639" customFormat="false" ht="15" hidden="false" customHeight="false" outlineLevel="0" collapsed="false">
      <c r="A639" s="22" t="n">
        <v>44834</v>
      </c>
      <c r="B639" s="23" t="n">
        <v>10</v>
      </c>
    </row>
    <row r="640" customFormat="false" ht="15" hidden="false" customHeight="false" outlineLevel="0" collapsed="false">
      <c r="A640" s="22" t="n">
        <v>44835</v>
      </c>
      <c r="B640" s="23" t="n">
        <v>10</v>
      </c>
    </row>
    <row r="641" customFormat="false" ht="15" hidden="false" customHeight="false" outlineLevel="0" collapsed="false">
      <c r="A641" s="22" t="n">
        <v>44836</v>
      </c>
      <c r="B641" s="23" t="n">
        <v>10</v>
      </c>
    </row>
    <row r="642" customFormat="false" ht="15" hidden="false" customHeight="false" outlineLevel="0" collapsed="false">
      <c r="A642" s="22" t="n">
        <v>44837</v>
      </c>
      <c r="B642" s="23" t="n">
        <v>10</v>
      </c>
    </row>
    <row r="643" customFormat="false" ht="15" hidden="false" customHeight="false" outlineLevel="0" collapsed="false">
      <c r="A643" s="22" t="n">
        <v>44838</v>
      </c>
      <c r="B643" s="23" t="n">
        <v>10</v>
      </c>
    </row>
    <row r="644" customFormat="false" ht="15" hidden="false" customHeight="false" outlineLevel="0" collapsed="false">
      <c r="A644" s="22" t="n">
        <v>44839</v>
      </c>
      <c r="B644" s="23" t="n">
        <v>10</v>
      </c>
    </row>
    <row r="645" customFormat="false" ht="15" hidden="false" customHeight="false" outlineLevel="0" collapsed="false">
      <c r="A645" s="22" t="n">
        <v>44840</v>
      </c>
      <c r="B645" s="23" t="n">
        <v>10</v>
      </c>
    </row>
    <row r="646" customFormat="false" ht="15" hidden="false" customHeight="false" outlineLevel="0" collapsed="false">
      <c r="A646" s="22" t="n">
        <v>44841</v>
      </c>
      <c r="B646" s="23" t="n">
        <v>10</v>
      </c>
    </row>
    <row r="647" customFormat="false" ht="15" hidden="false" customHeight="false" outlineLevel="0" collapsed="false">
      <c r="A647" s="22" t="n">
        <v>44842</v>
      </c>
      <c r="B647" s="23" t="n">
        <v>10</v>
      </c>
    </row>
    <row r="648" customFormat="false" ht="15" hidden="false" customHeight="false" outlineLevel="0" collapsed="false">
      <c r="A648" s="22" t="n">
        <v>44843</v>
      </c>
      <c r="B648" s="23" t="n">
        <v>10</v>
      </c>
    </row>
    <row r="649" customFormat="false" ht="15" hidden="false" customHeight="false" outlineLevel="0" collapsed="false">
      <c r="A649" s="22" t="n">
        <v>44844</v>
      </c>
      <c r="B649" s="23" t="n">
        <v>10</v>
      </c>
    </row>
    <row r="650" customFormat="false" ht="15" hidden="false" customHeight="false" outlineLevel="0" collapsed="false">
      <c r="A650" s="22" t="n">
        <v>44845</v>
      </c>
      <c r="B650" s="23" t="n">
        <v>10</v>
      </c>
    </row>
    <row r="651" customFormat="false" ht="15" hidden="false" customHeight="false" outlineLevel="0" collapsed="false">
      <c r="A651" s="22" t="n">
        <v>44846</v>
      </c>
      <c r="B651" s="23" t="n">
        <v>10</v>
      </c>
    </row>
    <row r="652" customFormat="false" ht="15" hidden="false" customHeight="false" outlineLevel="0" collapsed="false">
      <c r="A652" s="22" t="n">
        <v>44847</v>
      </c>
      <c r="B652" s="23" t="n">
        <v>10</v>
      </c>
    </row>
    <row r="653" customFormat="false" ht="15" hidden="false" customHeight="false" outlineLevel="0" collapsed="false">
      <c r="A653" s="22" t="n">
        <v>44848</v>
      </c>
      <c r="B653" s="23" t="n">
        <v>10</v>
      </c>
    </row>
    <row r="654" customFormat="false" ht="15" hidden="false" customHeight="false" outlineLevel="0" collapsed="false">
      <c r="A654" s="22" t="n">
        <v>44849</v>
      </c>
      <c r="B654" s="23" t="n">
        <v>10</v>
      </c>
    </row>
    <row r="655" customFormat="false" ht="15" hidden="false" customHeight="false" outlineLevel="0" collapsed="false">
      <c r="A655" s="22" t="n">
        <v>44850</v>
      </c>
      <c r="B655" s="23" t="n">
        <v>10</v>
      </c>
    </row>
    <row r="656" customFormat="false" ht="15" hidden="false" customHeight="false" outlineLevel="0" collapsed="false">
      <c r="A656" s="22" t="n">
        <v>44851</v>
      </c>
      <c r="B656" s="23" t="n">
        <v>10</v>
      </c>
    </row>
    <row r="657" customFormat="false" ht="15" hidden="false" customHeight="false" outlineLevel="0" collapsed="false">
      <c r="A657" s="22" t="n">
        <v>44852</v>
      </c>
      <c r="B657" s="23" t="n">
        <v>10</v>
      </c>
    </row>
    <row r="658" customFormat="false" ht="15" hidden="false" customHeight="false" outlineLevel="0" collapsed="false">
      <c r="A658" s="22" t="n">
        <v>44853</v>
      </c>
      <c r="B658" s="23" t="n">
        <v>10</v>
      </c>
    </row>
    <row r="659" customFormat="false" ht="15" hidden="false" customHeight="false" outlineLevel="0" collapsed="false">
      <c r="A659" s="22" t="n">
        <v>44854</v>
      </c>
      <c r="B659" s="23" t="n">
        <v>10</v>
      </c>
    </row>
    <row r="660" customFormat="false" ht="15" hidden="false" customHeight="false" outlineLevel="0" collapsed="false">
      <c r="A660" s="22" t="n">
        <v>44855</v>
      </c>
      <c r="B660" s="23" t="n">
        <v>10</v>
      </c>
    </row>
    <row r="661" customFormat="false" ht="15" hidden="false" customHeight="false" outlineLevel="0" collapsed="false">
      <c r="A661" s="22" t="n">
        <v>44856</v>
      </c>
      <c r="B661" s="23" t="n">
        <v>10</v>
      </c>
    </row>
    <row r="662" customFormat="false" ht="15" hidden="false" customHeight="false" outlineLevel="0" collapsed="false">
      <c r="A662" s="22" t="n">
        <v>44857</v>
      </c>
      <c r="B662" s="23" t="n">
        <v>10</v>
      </c>
    </row>
    <row r="663" customFormat="false" ht="15" hidden="false" customHeight="false" outlineLevel="0" collapsed="false">
      <c r="A663" s="22" t="n">
        <v>44858</v>
      </c>
      <c r="B663" s="23" t="n">
        <v>10</v>
      </c>
    </row>
    <row r="664" customFormat="false" ht="15" hidden="false" customHeight="false" outlineLevel="0" collapsed="false">
      <c r="A664" s="22" t="n">
        <v>44859</v>
      </c>
      <c r="B664" s="23" t="n">
        <v>10</v>
      </c>
    </row>
    <row r="665" customFormat="false" ht="15" hidden="false" customHeight="false" outlineLevel="0" collapsed="false">
      <c r="A665" s="22" t="n">
        <v>44860</v>
      </c>
      <c r="B665" s="23" t="n">
        <v>10</v>
      </c>
    </row>
    <row r="666" customFormat="false" ht="15" hidden="false" customHeight="false" outlineLevel="0" collapsed="false">
      <c r="A666" s="22" t="n">
        <v>44861</v>
      </c>
      <c r="B666" s="23" t="n">
        <v>10</v>
      </c>
    </row>
    <row r="667" customFormat="false" ht="15" hidden="false" customHeight="false" outlineLevel="0" collapsed="false">
      <c r="A667" s="22" t="n">
        <v>44862</v>
      </c>
      <c r="B667" s="23" t="n">
        <v>10</v>
      </c>
    </row>
    <row r="668" customFormat="false" ht="15" hidden="false" customHeight="false" outlineLevel="0" collapsed="false">
      <c r="A668" s="22" t="n">
        <v>44863</v>
      </c>
      <c r="B668" s="23" t="n">
        <v>10</v>
      </c>
    </row>
    <row r="669" customFormat="false" ht="15" hidden="false" customHeight="false" outlineLevel="0" collapsed="false">
      <c r="A669" s="22" t="n">
        <v>44864</v>
      </c>
      <c r="B669" s="23" t="n">
        <v>10</v>
      </c>
    </row>
    <row r="670" customFormat="false" ht="15" hidden="false" customHeight="false" outlineLevel="0" collapsed="false">
      <c r="A670" s="22" t="n">
        <v>44865</v>
      </c>
      <c r="B670" s="23" t="n">
        <v>11</v>
      </c>
    </row>
    <row r="671" customFormat="false" ht="15" hidden="false" customHeight="false" outlineLevel="0" collapsed="false">
      <c r="A671" s="22" t="n">
        <v>44866</v>
      </c>
      <c r="B671" s="23" t="n">
        <v>11</v>
      </c>
    </row>
    <row r="672" customFormat="false" ht="15" hidden="false" customHeight="false" outlineLevel="0" collapsed="false">
      <c r="A672" s="22" t="n">
        <v>44867</v>
      </c>
      <c r="B672" s="23" t="n">
        <v>11</v>
      </c>
    </row>
    <row r="673" customFormat="false" ht="15" hidden="false" customHeight="false" outlineLevel="0" collapsed="false">
      <c r="A673" s="22" t="n">
        <v>44868</v>
      </c>
      <c r="B673" s="23" t="n">
        <v>11</v>
      </c>
    </row>
    <row r="674" customFormat="false" ht="15" hidden="false" customHeight="false" outlineLevel="0" collapsed="false">
      <c r="A674" s="22" t="n">
        <v>44869</v>
      </c>
      <c r="B674" s="23" t="n">
        <v>11</v>
      </c>
    </row>
    <row r="675" customFormat="false" ht="15" hidden="false" customHeight="false" outlineLevel="0" collapsed="false">
      <c r="A675" s="22" t="n">
        <v>44870</v>
      </c>
      <c r="B675" s="23" t="n">
        <v>11</v>
      </c>
    </row>
    <row r="676" customFormat="false" ht="15" hidden="false" customHeight="false" outlineLevel="0" collapsed="false">
      <c r="A676" s="22" t="n">
        <v>44871</v>
      </c>
      <c r="B676" s="23" t="n">
        <v>11</v>
      </c>
    </row>
    <row r="677" customFormat="false" ht="15" hidden="false" customHeight="false" outlineLevel="0" collapsed="false">
      <c r="A677" s="22" t="n">
        <v>44872</v>
      </c>
      <c r="B677" s="23" t="n">
        <v>11</v>
      </c>
    </row>
    <row r="678" customFormat="false" ht="15" hidden="false" customHeight="false" outlineLevel="0" collapsed="false">
      <c r="A678" s="22" t="n">
        <v>44873</v>
      </c>
      <c r="B678" s="23" t="n">
        <v>11</v>
      </c>
    </row>
    <row r="679" customFormat="false" ht="15" hidden="false" customHeight="false" outlineLevel="0" collapsed="false">
      <c r="A679" s="22" t="n">
        <v>44874</v>
      </c>
      <c r="B679" s="23" t="n">
        <v>11</v>
      </c>
    </row>
    <row r="680" customFormat="false" ht="15" hidden="false" customHeight="false" outlineLevel="0" collapsed="false">
      <c r="A680" s="22" t="n">
        <v>44875</v>
      </c>
      <c r="B680" s="23" t="n">
        <v>11</v>
      </c>
    </row>
    <row r="681" customFormat="false" ht="15" hidden="false" customHeight="false" outlineLevel="0" collapsed="false">
      <c r="A681" s="22" t="n">
        <v>44876</v>
      </c>
      <c r="B681" s="23" t="n">
        <v>11</v>
      </c>
    </row>
    <row r="682" customFormat="false" ht="15" hidden="false" customHeight="false" outlineLevel="0" collapsed="false">
      <c r="A682" s="22" t="n">
        <v>44877</v>
      </c>
      <c r="B682" s="23" t="n">
        <v>11</v>
      </c>
    </row>
    <row r="683" customFormat="false" ht="15" hidden="false" customHeight="false" outlineLevel="0" collapsed="false">
      <c r="A683" s="22" t="n">
        <v>44878</v>
      </c>
      <c r="B683" s="23" t="n">
        <v>11</v>
      </c>
    </row>
    <row r="684" customFormat="false" ht="15" hidden="false" customHeight="false" outlineLevel="0" collapsed="false">
      <c r="A684" s="22" t="n">
        <v>44879</v>
      </c>
      <c r="B684" s="23" t="n">
        <v>11</v>
      </c>
    </row>
    <row r="685" customFormat="false" ht="15" hidden="false" customHeight="false" outlineLevel="0" collapsed="false">
      <c r="A685" s="22" t="n">
        <v>44880</v>
      </c>
      <c r="B685" s="23" t="n">
        <v>11</v>
      </c>
    </row>
    <row r="686" customFormat="false" ht="15" hidden="false" customHeight="false" outlineLevel="0" collapsed="false">
      <c r="A686" s="22" t="n">
        <v>44881</v>
      </c>
      <c r="B686" s="23" t="n">
        <v>11</v>
      </c>
    </row>
    <row r="687" customFormat="false" ht="15" hidden="false" customHeight="false" outlineLevel="0" collapsed="false">
      <c r="A687" s="22" t="n">
        <v>44882</v>
      </c>
      <c r="B687" s="23" t="n">
        <v>11</v>
      </c>
    </row>
    <row r="688" customFormat="false" ht="15" hidden="false" customHeight="false" outlineLevel="0" collapsed="false">
      <c r="A688" s="22" t="n">
        <v>44883</v>
      </c>
      <c r="B688" s="23" t="n">
        <v>11</v>
      </c>
    </row>
    <row r="689" customFormat="false" ht="15" hidden="false" customHeight="false" outlineLevel="0" collapsed="false">
      <c r="A689" s="22" t="n">
        <v>44884</v>
      </c>
      <c r="B689" s="23" t="n">
        <v>11</v>
      </c>
    </row>
    <row r="690" customFormat="false" ht="15" hidden="false" customHeight="false" outlineLevel="0" collapsed="false">
      <c r="A690" s="22" t="n">
        <v>44885</v>
      </c>
      <c r="B690" s="23" t="n">
        <v>11</v>
      </c>
    </row>
    <row r="691" customFormat="false" ht="15" hidden="false" customHeight="false" outlineLevel="0" collapsed="false">
      <c r="A691" s="22" t="n">
        <v>44886</v>
      </c>
      <c r="B691" s="23" t="n">
        <v>11</v>
      </c>
    </row>
    <row r="692" customFormat="false" ht="15" hidden="false" customHeight="false" outlineLevel="0" collapsed="false">
      <c r="A692" s="22" t="n">
        <v>44887</v>
      </c>
      <c r="B692" s="23" t="n">
        <v>11</v>
      </c>
    </row>
    <row r="693" customFormat="false" ht="15" hidden="false" customHeight="false" outlineLevel="0" collapsed="false">
      <c r="A693" s="22" t="n">
        <v>44888</v>
      </c>
      <c r="B693" s="23" t="n">
        <v>11</v>
      </c>
    </row>
    <row r="694" customFormat="false" ht="15" hidden="false" customHeight="false" outlineLevel="0" collapsed="false">
      <c r="A694" s="22" t="n">
        <v>44889</v>
      </c>
      <c r="B694" s="23" t="n">
        <v>11</v>
      </c>
    </row>
    <row r="695" customFormat="false" ht="15" hidden="false" customHeight="false" outlineLevel="0" collapsed="false">
      <c r="A695" s="22" t="n">
        <v>44890</v>
      </c>
      <c r="B695" s="23" t="n">
        <v>11</v>
      </c>
    </row>
    <row r="696" customFormat="false" ht="15" hidden="false" customHeight="false" outlineLevel="0" collapsed="false">
      <c r="A696" s="22" t="n">
        <v>44891</v>
      </c>
      <c r="B696" s="23" t="n">
        <v>11</v>
      </c>
    </row>
    <row r="697" customFormat="false" ht="15" hidden="false" customHeight="false" outlineLevel="0" collapsed="false">
      <c r="A697" s="22" t="n">
        <v>44892</v>
      </c>
      <c r="B697" s="23" t="n">
        <v>11</v>
      </c>
    </row>
    <row r="698" customFormat="false" ht="15" hidden="false" customHeight="false" outlineLevel="0" collapsed="false">
      <c r="A698" s="22" t="n">
        <v>44893</v>
      </c>
      <c r="B698" s="23" t="n">
        <v>11</v>
      </c>
    </row>
    <row r="699" customFormat="false" ht="15" hidden="false" customHeight="false" outlineLevel="0" collapsed="false">
      <c r="A699" s="22" t="n">
        <v>44894</v>
      </c>
      <c r="B699" s="23" t="n">
        <v>11</v>
      </c>
    </row>
    <row r="700" customFormat="false" ht="15" hidden="false" customHeight="false" outlineLevel="0" collapsed="false">
      <c r="A700" s="22" t="n">
        <v>44895</v>
      </c>
      <c r="B700" s="23" t="n">
        <v>11</v>
      </c>
    </row>
    <row r="701" customFormat="false" ht="15" hidden="false" customHeight="false" outlineLevel="0" collapsed="false">
      <c r="A701" s="22" t="n">
        <v>44896</v>
      </c>
      <c r="B701" s="23" t="n">
        <v>11</v>
      </c>
    </row>
    <row r="702" customFormat="false" ht="15" hidden="false" customHeight="false" outlineLevel="0" collapsed="false">
      <c r="A702" s="22" t="n">
        <v>44897</v>
      </c>
      <c r="B702" s="23" t="n">
        <v>11</v>
      </c>
    </row>
    <row r="703" customFormat="false" ht="15" hidden="false" customHeight="false" outlineLevel="0" collapsed="false">
      <c r="A703" s="22" t="n">
        <v>44898</v>
      </c>
      <c r="B703" s="23" t="n">
        <v>11</v>
      </c>
    </row>
    <row r="704" customFormat="false" ht="15" hidden="false" customHeight="false" outlineLevel="0" collapsed="false">
      <c r="A704" s="22" t="n">
        <v>44899</v>
      </c>
      <c r="B704" s="23" t="n">
        <v>11</v>
      </c>
    </row>
    <row r="705" customFormat="false" ht="15" hidden="false" customHeight="false" outlineLevel="0" collapsed="false">
      <c r="A705" s="22" t="n">
        <v>44900</v>
      </c>
      <c r="B705" s="23" t="n">
        <v>11</v>
      </c>
    </row>
    <row r="706" customFormat="false" ht="15" hidden="false" customHeight="false" outlineLevel="0" collapsed="false">
      <c r="A706" s="22" t="n">
        <v>44901</v>
      </c>
      <c r="B706" s="23" t="n">
        <v>11</v>
      </c>
    </row>
    <row r="707" customFormat="false" ht="15" hidden="false" customHeight="false" outlineLevel="0" collapsed="false">
      <c r="A707" s="22" t="n">
        <v>44902</v>
      </c>
      <c r="B707" s="23" t="n">
        <v>11</v>
      </c>
    </row>
    <row r="708" customFormat="false" ht="15" hidden="false" customHeight="false" outlineLevel="0" collapsed="false">
      <c r="A708" s="22" t="n">
        <v>44903</v>
      </c>
      <c r="B708" s="23" t="n">
        <v>11</v>
      </c>
    </row>
    <row r="709" customFormat="false" ht="15" hidden="false" customHeight="false" outlineLevel="0" collapsed="false">
      <c r="A709" s="22" t="n">
        <v>44904</v>
      </c>
      <c r="B709" s="23" t="n">
        <v>11</v>
      </c>
    </row>
    <row r="710" customFormat="false" ht="15" hidden="false" customHeight="false" outlineLevel="0" collapsed="false">
      <c r="A710" s="22" t="n">
        <v>44905</v>
      </c>
      <c r="B710" s="23" t="n">
        <v>11</v>
      </c>
    </row>
    <row r="711" customFormat="false" ht="15" hidden="false" customHeight="false" outlineLevel="0" collapsed="false">
      <c r="A711" s="22" t="n">
        <v>44906</v>
      </c>
      <c r="B711" s="23" t="n">
        <v>11</v>
      </c>
    </row>
    <row r="712" customFormat="false" ht="15" hidden="false" customHeight="false" outlineLevel="0" collapsed="false">
      <c r="A712" s="22" t="n">
        <v>44907</v>
      </c>
      <c r="B712" s="23" t="n">
        <v>11</v>
      </c>
    </row>
    <row r="713" customFormat="false" ht="15" hidden="false" customHeight="false" outlineLevel="0" collapsed="false">
      <c r="A713" s="22" t="n">
        <v>44908</v>
      </c>
      <c r="B713" s="23" t="n">
        <v>11</v>
      </c>
    </row>
    <row r="714" customFormat="false" ht="15" hidden="false" customHeight="false" outlineLevel="0" collapsed="false">
      <c r="A714" s="22" t="n">
        <v>44909</v>
      </c>
      <c r="B714" s="23" t="n">
        <v>11</v>
      </c>
    </row>
    <row r="715" customFormat="false" ht="15" hidden="false" customHeight="false" outlineLevel="0" collapsed="false">
      <c r="A715" s="22" t="n">
        <v>44910</v>
      </c>
      <c r="B715" s="23" t="n">
        <v>11</v>
      </c>
    </row>
    <row r="716" customFormat="false" ht="15" hidden="false" customHeight="false" outlineLevel="0" collapsed="false">
      <c r="A716" s="22" t="n">
        <v>44911</v>
      </c>
      <c r="B716" s="23" t="n">
        <v>11</v>
      </c>
    </row>
    <row r="717" customFormat="false" ht="15" hidden="false" customHeight="false" outlineLevel="0" collapsed="false">
      <c r="A717" s="22" t="n">
        <v>44912</v>
      </c>
      <c r="B717" s="23" t="n">
        <v>11</v>
      </c>
    </row>
    <row r="718" customFormat="false" ht="15" hidden="false" customHeight="false" outlineLevel="0" collapsed="false">
      <c r="A718" s="22" t="n">
        <v>44913</v>
      </c>
      <c r="B718" s="23" t="n">
        <v>11</v>
      </c>
    </row>
    <row r="719" customFormat="false" ht="15" hidden="false" customHeight="false" outlineLevel="0" collapsed="false">
      <c r="A719" s="22" t="n">
        <v>44914</v>
      </c>
      <c r="B719" s="23" t="n">
        <v>12</v>
      </c>
    </row>
    <row r="720" customFormat="false" ht="15" hidden="false" customHeight="false" outlineLevel="0" collapsed="false">
      <c r="A720" s="22" t="n">
        <v>44915</v>
      </c>
      <c r="B720" s="23" t="n">
        <v>12</v>
      </c>
    </row>
    <row r="721" customFormat="false" ht="15" hidden="false" customHeight="false" outlineLevel="0" collapsed="false">
      <c r="A721" s="22" t="n">
        <v>44916</v>
      </c>
      <c r="B721" s="23" t="n">
        <v>12</v>
      </c>
    </row>
    <row r="722" customFormat="false" ht="15" hidden="false" customHeight="false" outlineLevel="0" collapsed="false">
      <c r="A722" s="22" t="n">
        <v>44917</v>
      </c>
      <c r="B722" s="23" t="n">
        <v>12</v>
      </c>
    </row>
    <row r="723" customFormat="false" ht="15" hidden="false" customHeight="false" outlineLevel="0" collapsed="false">
      <c r="A723" s="22" t="n">
        <v>44918</v>
      </c>
      <c r="B723" s="23" t="n">
        <v>12</v>
      </c>
    </row>
    <row r="724" customFormat="false" ht="15" hidden="false" customHeight="false" outlineLevel="0" collapsed="false">
      <c r="A724" s="22" t="n">
        <v>44919</v>
      </c>
      <c r="B724" s="23" t="n">
        <v>12</v>
      </c>
    </row>
    <row r="725" customFormat="false" ht="15" hidden="false" customHeight="false" outlineLevel="0" collapsed="false">
      <c r="A725" s="22" t="n">
        <v>44920</v>
      </c>
      <c r="B725" s="23" t="n">
        <v>12</v>
      </c>
    </row>
    <row r="726" customFormat="false" ht="15" hidden="false" customHeight="false" outlineLevel="0" collapsed="false">
      <c r="A726" s="22" t="n">
        <v>44921</v>
      </c>
      <c r="B726" s="23" t="n">
        <v>12</v>
      </c>
    </row>
    <row r="727" customFormat="false" ht="15" hidden="false" customHeight="false" outlineLevel="0" collapsed="false">
      <c r="A727" s="22" t="n">
        <v>44922</v>
      </c>
      <c r="B727" s="23" t="n">
        <v>12</v>
      </c>
    </row>
    <row r="728" customFormat="false" ht="15" hidden="false" customHeight="false" outlineLevel="0" collapsed="false">
      <c r="A728" s="22" t="n">
        <v>44923</v>
      </c>
      <c r="B728" s="23" t="n">
        <v>12</v>
      </c>
    </row>
    <row r="729" customFormat="false" ht="15" hidden="false" customHeight="false" outlineLevel="0" collapsed="false">
      <c r="A729" s="22" t="n">
        <v>44924</v>
      </c>
      <c r="B729" s="23" t="n">
        <v>12</v>
      </c>
    </row>
    <row r="730" customFormat="false" ht="15" hidden="false" customHeight="false" outlineLevel="0" collapsed="false">
      <c r="A730" s="22" t="n">
        <v>44925</v>
      </c>
      <c r="B730" s="23" t="n">
        <v>12</v>
      </c>
    </row>
    <row r="731" customFormat="false" ht="15" hidden="false" customHeight="false" outlineLevel="0" collapsed="false">
      <c r="A731" s="22" t="n">
        <v>44926</v>
      </c>
      <c r="B731" s="23" t="n">
        <v>12</v>
      </c>
    </row>
    <row r="732" customFormat="false" ht="15" hidden="false" customHeight="false" outlineLevel="0" collapsed="false">
      <c r="A732" s="22" t="n">
        <v>44927</v>
      </c>
      <c r="B732" s="23" t="n">
        <v>12</v>
      </c>
    </row>
    <row r="733" customFormat="false" ht="15" hidden="false" customHeight="false" outlineLevel="0" collapsed="false">
      <c r="A733" s="22" t="n">
        <v>44928</v>
      </c>
      <c r="B733" s="23" t="n">
        <v>12</v>
      </c>
    </row>
    <row r="734" customFormat="false" ht="15" hidden="false" customHeight="false" outlineLevel="0" collapsed="false">
      <c r="A734" s="22" t="n">
        <v>44929</v>
      </c>
      <c r="B734" s="23" t="n">
        <v>12</v>
      </c>
    </row>
    <row r="735" customFormat="false" ht="15" hidden="false" customHeight="false" outlineLevel="0" collapsed="false">
      <c r="A735" s="22" t="n">
        <v>44930</v>
      </c>
      <c r="B735" s="23" t="n">
        <v>12</v>
      </c>
    </row>
    <row r="736" customFormat="false" ht="15" hidden="false" customHeight="false" outlineLevel="0" collapsed="false">
      <c r="A736" s="22" t="n">
        <v>44931</v>
      </c>
      <c r="B736" s="23" t="n">
        <v>12</v>
      </c>
    </row>
    <row r="737" customFormat="false" ht="15" hidden="false" customHeight="false" outlineLevel="0" collapsed="false">
      <c r="A737" s="22" t="n">
        <v>44932</v>
      </c>
      <c r="B737" s="23" t="n">
        <v>12</v>
      </c>
    </row>
    <row r="738" customFormat="false" ht="15" hidden="false" customHeight="false" outlineLevel="0" collapsed="false">
      <c r="A738" s="22" t="n">
        <v>44933</v>
      </c>
      <c r="B738" s="23" t="n">
        <v>12</v>
      </c>
    </row>
    <row r="739" customFormat="false" ht="15" hidden="false" customHeight="false" outlineLevel="0" collapsed="false">
      <c r="A739" s="22" t="n">
        <v>44934</v>
      </c>
      <c r="B739" s="23" t="n">
        <v>12</v>
      </c>
    </row>
    <row r="740" customFormat="false" ht="15" hidden="false" customHeight="false" outlineLevel="0" collapsed="false">
      <c r="A740" s="22" t="n">
        <v>44935</v>
      </c>
      <c r="B740" s="23" t="n">
        <v>12</v>
      </c>
    </row>
    <row r="741" customFormat="false" ht="15" hidden="false" customHeight="false" outlineLevel="0" collapsed="false">
      <c r="A741" s="22" t="n">
        <v>44936</v>
      </c>
      <c r="B741" s="23" t="n">
        <v>12</v>
      </c>
    </row>
    <row r="742" customFormat="false" ht="15" hidden="false" customHeight="false" outlineLevel="0" collapsed="false">
      <c r="A742" s="22" t="n">
        <v>44937</v>
      </c>
      <c r="B742" s="23" t="n">
        <v>12</v>
      </c>
    </row>
    <row r="743" customFormat="false" ht="15" hidden="false" customHeight="false" outlineLevel="0" collapsed="false">
      <c r="A743" s="22" t="n">
        <v>44938</v>
      </c>
      <c r="B743" s="23" t="n">
        <v>12</v>
      </c>
    </row>
    <row r="744" customFormat="false" ht="15" hidden="false" customHeight="false" outlineLevel="0" collapsed="false">
      <c r="A744" s="22" t="n">
        <v>44939</v>
      </c>
      <c r="B744" s="23" t="n">
        <v>12</v>
      </c>
    </row>
    <row r="745" customFormat="false" ht="15" hidden="false" customHeight="false" outlineLevel="0" collapsed="false">
      <c r="A745" s="22" t="n">
        <v>44940</v>
      </c>
      <c r="B745" s="23" t="n">
        <v>12</v>
      </c>
    </row>
    <row r="746" customFormat="false" ht="15" hidden="false" customHeight="false" outlineLevel="0" collapsed="false">
      <c r="A746" s="22" t="n">
        <v>44941</v>
      </c>
      <c r="B746" s="23" t="n">
        <v>12</v>
      </c>
    </row>
    <row r="747" customFormat="false" ht="15" hidden="false" customHeight="false" outlineLevel="0" collapsed="false">
      <c r="A747" s="22" t="n">
        <v>44942</v>
      </c>
      <c r="B747" s="23" t="n">
        <v>12</v>
      </c>
    </row>
    <row r="748" customFormat="false" ht="15" hidden="false" customHeight="false" outlineLevel="0" collapsed="false">
      <c r="A748" s="22" t="n">
        <v>44943</v>
      </c>
      <c r="B748" s="23" t="n">
        <v>12</v>
      </c>
    </row>
    <row r="749" customFormat="false" ht="15" hidden="false" customHeight="false" outlineLevel="0" collapsed="false">
      <c r="A749" s="22" t="n">
        <v>44944</v>
      </c>
      <c r="B749" s="23" t="n">
        <v>12</v>
      </c>
    </row>
    <row r="750" customFormat="false" ht="15" hidden="false" customHeight="false" outlineLevel="0" collapsed="false">
      <c r="A750" s="22" t="n">
        <v>44945</v>
      </c>
      <c r="B750" s="23" t="n">
        <v>12</v>
      </c>
    </row>
    <row r="751" customFormat="false" ht="15" hidden="false" customHeight="false" outlineLevel="0" collapsed="false">
      <c r="A751" s="22" t="n">
        <v>44946</v>
      </c>
      <c r="B751" s="23" t="n">
        <v>12</v>
      </c>
    </row>
    <row r="752" customFormat="false" ht="15" hidden="false" customHeight="false" outlineLevel="0" collapsed="false">
      <c r="A752" s="22" t="n">
        <v>44947</v>
      </c>
      <c r="B752" s="23" t="n">
        <v>12</v>
      </c>
    </row>
    <row r="753" customFormat="false" ht="15" hidden="false" customHeight="false" outlineLevel="0" collapsed="false">
      <c r="A753" s="22" t="n">
        <v>44948</v>
      </c>
      <c r="B753" s="23" t="n">
        <v>12</v>
      </c>
    </row>
    <row r="754" customFormat="false" ht="15" hidden="false" customHeight="false" outlineLevel="0" collapsed="false">
      <c r="A754" s="22" t="n">
        <v>44949</v>
      </c>
      <c r="B754" s="23" t="n">
        <v>12</v>
      </c>
    </row>
    <row r="755" customFormat="false" ht="15" hidden="false" customHeight="false" outlineLevel="0" collapsed="false">
      <c r="A755" s="22" t="n">
        <v>44950</v>
      </c>
      <c r="B755" s="23" t="n">
        <v>12</v>
      </c>
    </row>
    <row r="756" customFormat="false" ht="15" hidden="false" customHeight="false" outlineLevel="0" collapsed="false">
      <c r="A756" s="22" t="n">
        <v>44951</v>
      </c>
      <c r="B756" s="23" t="n">
        <v>12</v>
      </c>
    </row>
    <row r="757" customFormat="false" ht="15" hidden="false" customHeight="false" outlineLevel="0" collapsed="false">
      <c r="A757" s="22" t="n">
        <v>44952</v>
      </c>
      <c r="B757" s="23" t="n">
        <v>12</v>
      </c>
    </row>
    <row r="758" customFormat="false" ht="15" hidden="false" customHeight="false" outlineLevel="0" collapsed="false">
      <c r="A758" s="22" t="n">
        <v>44953</v>
      </c>
      <c r="B758" s="23" t="n">
        <v>12</v>
      </c>
    </row>
    <row r="759" customFormat="false" ht="15" hidden="false" customHeight="false" outlineLevel="0" collapsed="false">
      <c r="A759" s="22" t="n">
        <v>44954</v>
      </c>
      <c r="B759" s="23" t="n">
        <v>12</v>
      </c>
    </row>
    <row r="760" customFormat="false" ht="15" hidden="false" customHeight="false" outlineLevel="0" collapsed="false">
      <c r="A760" s="22" t="n">
        <v>44955</v>
      </c>
      <c r="B760" s="23" t="n">
        <v>12</v>
      </c>
    </row>
    <row r="761" customFormat="false" ht="15" hidden="false" customHeight="false" outlineLevel="0" collapsed="false">
      <c r="A761" s="22" t="n">
        <v>44956</v>
      </c>
      <c r="B761" s="23" t="n">
        <v>12.75</v>
      </c>
    </row>
    <row r="762" customFormat="false" ht="15" hidden="false" customHeight="false" outlineLevel="0" collapsed="false">
      <c r="A762" s="22" t="n">
        <v>44957</v>
      </c>
      <c r="B762" s="23" t="n">
        <v>12.75</v>
      </c>
    </row>
    <row r="763" customFormat="false" ht="15" hidden="false" customHeight="false" outlineLevel="0" collapsed="false">
      <c r="A763" s="22" t="n">
        <v>44958</v>
      </c>
      <c r="B763" s="23" t="n">
        <v>12.75</v>
      </c>
    </row>
    <row r="764" customFormat="false" ht="15" hidden="false" customHeight="false" outlineLevel="0" collapsed="false">
      <c r="A764" s="22" t="n">
        <v>44959</v>
      </c>
      <c r="B764" s="23" t="n">
        <v>12.75</v>
      </c>
    </row>
    <row r="765" customFormat="false" ht="15" hidden="false" customHeight="false" outlineLevel="0" collapsed="false">
      <c r="A765" s="22" t="n">
        <v>44960</v>
      </c>
      <c r="B765" s="23" t="n">
        <v>12.75</v>
      </c>
    </row>
    <row r="766" customFormat="false" ht="15" hidden="false" customHeight="false" outlineLevel="0" collapsed="false">
      <c r="A766" s="22" t="n">
        <v>44961</v>
      </c>
      <c r="B766" s="23" t="n">
        <v>12.75</v>
      </c>
    </row>
    <row r="767" customFormat="false" ht="15" hidden="false" customHeight="false" outlineLevel="0" collapsed="false">
      <c r="A767" s="22" t="n">
        <v>44962</v>
      </c>
      <c r="B767" s="23" t="n">
        <v>12.75</v>
      </c>
    </row>
    <row r="768" customFormat="false" ht="15" hidden="false" customHeight="false" outlineLevel="0" collapsed="false">
      <c r="A768" s="22" t="n">
        <v>44963</v>
      </c>
      <c r="B768" s="23" t="n">
        <v>12.75</v>
      </c>
    </row>
    <row r="769" customFormat="false" ht="15" hidden="false" customHeight="false" outlineLevel="0" collapsed="false">
      <c r="A769" s="22" t="n">
        <v>44964</v>
      </c>
      <c r="B769" s="23" t="n">
        <v>12.75</v>
      </c>
    </row>
    <row r="770" customFormat="false" ht="15" hidden="false" customHeight="false" outlineLevel="0" collapsed="false">
      <c r="A770" s="22" t="n">
        <v>44965</v>
      </c>
      <c r="B770" s="23" t="n">
        <v>12.75</v>
      </c>
    </row>
    <row r="771" customFormat="false" ht="15" hidden="false" customHeight="false" outlineLevel="0" collapsed="false">
      <c r="A771" s="22" t="n">
        <v>44966</v>
      </c>
      <c r="B771" s="23" t="n">
        <v>12.75</v>
      </c>
    </row>
    <row r="772" customFormat="false" ht="15" hidden="false" customHeight="false" outlineLevel="0" collapsed="false">
      <c r="A772" s="22" t="n">
        <v>44967</v>
      </c>
      <c r="B772" s="23" t="n">
        <v>12.75</v>
      </c>
    </row>
    <row r="773" customFormat="false" ht="15" hidden="false" customHeight="false" outlineLevel="0" collapsed="false">
      <c r="A773" s="22" t="n">
        <v>44968</v>
      </c>
      <c r="B773" s="23" t="n">
        <v>12.75</v>
      </c>
    </row>
    <row r="774" customFormat="false" ht="15" hidden="false" customHeight="false" outlineLevel="0" collapsed="false">
      <c r="A774" s="22" t="n">
        <v>44969</v>
      </c>
      <c r="B774" s="23" t="n">
        <v>12.75</v>
      </c>
    </row>
    <row r="775" customFormat="false" ht="15" hidden="false" customHeight="false" outlineLevel="0" collapsed="false">
      <c r="A775" s="22" t="n">
        <v>44970</v>
      </c>
      <c r="B775" s="23" t="n">
        <v>12.75</v>
      </c>
    </row>
    <row r="776" customFormat="false" ht="15" hidden="false" customHeight="false" outlineLevel="0" collapsed="false">
      <c r="A776" s="22" t="n">
        <v>44971</v>
      </c>
      <c r="B776" s="23" t="n">
        <v>12.75</v>
      </c>
    </row>
    <row r="777" customFormat="false" ht="15" hidden="false" customHeight="false" outlineLevel="0" collapsed="false">
      <c r="A777" s="22" t="n">
        <v>44972</v>
      </c>
      <c r="B777" s="23" t="n">
        <v>12.75</v>
      </c>
    </row>
    <row r="778" customFormat="false" ht="15" hidden="false" customHeight="false" outlineLevel="0" collapsed="false">
      <c r="A778" s="22" t="n">
        <v>44973</v>
      </c>
      <c r="B778" s="23" t="n">
        <v>12.75</v>
      </c>
    </row>
    <row r="779" customFormat="false" ht="15" hidden="false" customHeight="false" outlineLevel="0" collapsed="false">
      <c r="A779" s="22" t="n">
        <v>44974</v>
      </c>
      <c r="B779" s="23" t="n">
        <v>12.75</v>
      </c>
    </row>
    <row r="780" customFormat="false" ht="15" hidden="false" customHeight="false" outlineLevel="0" collapsed="false">
      <c r="A780" s="22" t="n">
        <v>44975</v>
      </c>
      <c r="B780" s="23" t="n">
        <v>12.75</v>
      </c>
    </row>
    <row r="781" customFormat="false" ht="15" hidden="false" customHeight="false" outlineLevel="0" collapsed="false">
      <c r="A781" s="22" t="n">
        <v>44976</v>
      </c>
      <c r="B781" s="23" t="n">
        <v>12.75</v>
      </c>
    </row>
    <row r="782" customFormat="false" ht="15" hidden="false" customHeight="false" outlineLevel="0" collapsed="false">
      <c r="A782" s="22" t="n">
        <v>44977</v>
      </c>
      <c r="B782" s="23" t="n">
        <v>12.75</v>
      </c>
    </row>
    <row r="783" customFormat="false" ht="15" hidden="false" customHeight="false" outlineLevel="0" collapsed="false">
      <c r="A783" s="22" t="n">
        <v>44978</v>
      </c>
      <c r="B783" s="23" t="n">
        <v>12.75</v>
      </c>
    </row>
    <row r="784" customFormat="false" ht="15" hidden="false" customHeight="false" outlineLevel="0" collapsed="false">
      <c r="A784" s="22" t="n">
        <v>44979</v>
      </c>
      <c r="B784" s="23" t="n">
        <v>12.75</v>
      </c>
    </row>
    <row r="785" customFormat="false" ht="15" hidden="false" customHeight="false" outlineLevel="0" collapsed="false">
      <c r="A785" s="22" t="n">
        <v>44980</v>
      </c>
      <c r="B785" s="23" t="n">
        <v>12.75</v>
      </c>
    </row>
    <row r="786" customFormat="false" ht="15" hidden="false" customHeight="false" outlineLevel="0" collapsed="false">
      <c r="A786" s="22" t="n">
        <v>44981</v>
      </c>
      <c r="B786" s="23" t="n">
        <v>12.75</v>
      </c>
    </row>
    <row r="787" customFormat="false" ht="15" hidden="false" customHeight="false" outlineLevel="0" collapsed="false">
      <c r="A787" s="22" t="n">
        <v>44982</v>
      </c>
      <c r="B787" s="23" t="n">
        <v>12.75</v>
      </c>
    </row>
    <row r="788" customFormat="false" ht="15" hidden="false" customHeight="false" outlineLevel="0" collapsed="false">
      <c r="A788" s="22" t="n">
        <v>44983</v>
      </c>
      <c r="B788" s="23" t="n">
        <v>12.75</v>
      </c>
    </row>
    <row r="789" customFormat="false" ht="15" hidden="false" customHeight="false" outlineLevel="0" collapsed="false">
      <c r="A789" s="22" t="n">
        <v>44984</v>
      </c>
      <c r="B789" s="23" t="n">
        <v>12.75</v>
      </c>
    </row>
    <row r="790" customFormat="false" ht="15" hidden="false" customHeight="false" outlineLevel="0" collapsed="false">
      <c r="A790" s="22" t="n">
        <v>44985</v>
      </c>
      <c r="B790" s="23" t="n">
        <v>12.75</v>
      </c>
    </row>
    <row r="791" customFormat="false" ht="15" hidden="false" customHeight="false" outlineLevel="0" collapsed="false">
      <c r="A791" s="22" t="n">
        <v>44986</v>
      </c>
      <c r="B791" s="23" t="n">
        <v>12.75</v>
      </c>
    </row>
    <row r="792" customFormat="false" ht="15" hidden="false" customHeight="false" outlineLevel="0" collapsed="false">
      <c r="A792" s="22" t="n">
        <v>44987</v>
      </c>
      <c r="B792" s="23" t="n">
        <v>12.75</v>
      </c>
    </row>
    <row r="793" customFormat="false" ht="15" hidden="false" customHeight="false" outlineLevel="0" collapsed="false">
      <c r="A793" s="22" t="n">
        <v>44988</v>
      </c>
      <c r="B793" s="23" t="n">
        <v>12.75</v>
      </c>
    </row>
    <row r="794" customFormat="false" ht="15" hidden="false" customHeight="false" outlineLevel="0" collapsed="false">
      <c r="A794" s="22" t="n">
        <v>44989</v>
      </c>
      <c r="B794" s="23" t="n">
        <v>12.75</v>
      </c>
    </row>
    <row r="795" customFormat="false" ht="15" hidden="false" customHeight="false" outlineLevel="0" collapsed="false">
      <c r="A795" s="22" t="n">
        <v>44990</v>
      </c>
      <c r="B795" s="23" t="n">
        <v>12.75</v>
      </c>
    </row>
    <row r="796" customFormat="false" ht="15" hidden="false" customHeight="false" outlineLevel="0" collapsed="false">
      <c r="A796" s="22" t="n">
        <v>44991</v>
      </c>
      <c r="B796" s="23" t="n">
        <v>12.75</v>
      </c>
    </row>
    <row r="797" customFormat="false" ht="15" hidden="false" customHeight="false" outlineLevel="0" collapsed="false">
      <c r="A797" s="22" t="n">
        <v>44992</v>
      </c>
      <c r="B797" s="23" t="n">
        <v>12.75</v>
      </c>
    </row>
    <row r="798" customFormat="false" ht="15" hidden="false" customHeight="false" outlineLevel="0" collapsed="false">
      <c r="A798" s="22" t="n">
        <v>44993</v>
      </c>
      <c r="B798" s="23" t="n">
        <v>12.75</v>
      </c>
    </row>
    <row r="799" customFormat="false" ht="15" hidden="false" customHeight="false" outlineLevel="0" collapsed="false">
      <c r="A799" s="22" t="n">
        <v>44994</v>
      </c>
      <c r="B799" s="23" t="n">
        <v>12.75</v>
      </c>
    </row>
    <row r="800" customFormat="false" ht="15" hidden="false" customHeight="false" outlineLevel="0" collapsed="false">
      <c r="A800" s="22" t="n">
        <v>44995</v>
      </c>
      <c r="B800" s="23" t="n">
        <v>12.75</v>
      </c>
    </row>
    <row r="801" customFormat="false" ht="15" hidden="false" customHeight="false" outlineLevel="0" collapsed="false">
      <c r="A801" s="22" t="n">
        <v>44996</v>
      </c>
      <c r="B801" s="23" t="n">
        <v>12.75</v>
      </c>
    </row>
    <row r="802" customFormat="false" ht="15" hidden="false" customHeight="false" outlineLevel="0" collapsed="false">
      <c r="A802" s="22" t="n">
        <v>44997</v>
      </c>
      <c r="B802" s="23" t="n">
        <v>12.75</v>
      </c>
    </row>
    <row r="803" customFormat="false" ht="15" hidden="false" customHeight="false" outlineLevel="0" collapsed="false">
      <c r="A803" s="22" t="n">
        <v>44998</v>
      </c>
      <c r="B803" s="23" t="n">
        <v>12.75</v>
      </c>
    </row>
    <row r="804" customFormat="false" ht="15" hidden="false" customHeight="false" outlineLevel="0" collapsed="false">
      <c r="A804" s="22" t="n">
        <v>44999</v>
      </c>
      <c r="B804" s="23" t="n">
        <v>12.75</v>
      </c>
    </row>
    <row r="805" customFormat="false" ht="15" hidden="false" customHeight="false" outlineLevel="0" collapsed="false">
      <c r="A805" s="22" t="n">
        <v>45000</v>
      </c>
      <c r="B805" s="23" t="n">
        <v>12.75</v>
      </c>
    </row>
    <row r="806" customFormat="false" ht="15" hidden="false" customHeight="false" outlineLevel="0" collapsed="false">
      <c r="A806" s="22" t="n">
        <v>45001</v>
      </c>
      <c r="B806" s="23" t="n">
        <v>12.75</v>
      </c>
    </row>
    <row r="807" customFormat="false" ht="15" hidden="false" customHeight="false" outlineLevel="0" collapsed="false">
      <c r="A807" s="22" t="n">
        <v>45002</v>
      </c>
      <c r="B807" s="23" t="n">
        <v>12.75</v>
      </c>
    </row>
    <row r="808" customFormat="false" ht="15" hidden="false" customHeight="false" outlineLevel="0" collapsed="false">
      <c r="A808" s="22" t="n">
        <v>45003</v>
      </c>
      <c r="B808" s="23" t="n">
        <v>12.75</v>
      </c>
    </row>
    <row r="809" customFormat="false" ht="15" hidden="false" customHeight="false" outlineLevel="0" collapsed="false">
      <c r="A809" s="22" t="n">
        <v>45004</v>
      </c>
      <c r="B809" s="23" t="n">
        <v>12.75</v>
      </c>
    </row>
    <row r="810" customFormat="false" ht="15" hidden="false" customHeight="false" outlineLevel="0" collapsed="false">
      <c r="A810" s="22" t="n">
        <v>45005</v>
      </c>
      <c r="B810" s="23" t="n">
        <v>12.75</v>
      </c>
    </row>
    <row r="811" customFormat="false" ht="15" hidden="false" customHeight="false" outlineLevel="0" collapsed="false">
      <c r="A811" s="22" t="n">
        <v>45006</v>
      </c>
      <c r="B811" s="23" t="n">
        <v>12.75</v>
      </c>
    </row>
    <row r="812" customFormat="false" ht="15" hidden="false" customHeight="false" outlineLevel="0" collapsed="false">
      <c r="A812" s="22" t="n">
        <v>45007</v>
      </c>
      <c r="B812" s="23" t="n">
        <v>12.75</v>
      </c>
    </row>
    <row r="813" customFormat="false" ht="15" hidden="false" customHeight="false" outlineLevel="0" collapsed="false">
      <c r="A813" s="22" t="n">
        <v>45008</v>
      </c>
      <c r="B813" s="23" t="n">
        <v>12.75</v>
      </c>
    </row>
    <row r="814" customFormat="false" ht="15" hidden="false" customHeight="false" outlineLevel="0" collapsed="false">
      <c r="A814" s="22" t="n">
        <v>45009</v>
      </c>
      <c r="B814" s="23" t="n">
        <v>12.75</v>
      </c>
    </row>
    <row r="815" customFormat="false" ht="15" hidden="false" customHeight="false" outlineLevel="0" collapsed="false">
      <c r="A815" s="22" t="n">
        <v>45010</v>
      </c>
      <c r="B815" s="23" t="n">
        <v>12.75</v>
      </c>
    </row>
    <row r="816" customFormat="false" ht="15" hidden="false" customHeight="false" outlineLevel="0" collapsed="false">
      <c r="A816" s="22" t="n">
        <v>45011</v>
      </c>
      <c r="B816" s="23" t="n">
        <v>12.75</v>
      </c>
    </row>
    <row r="817" customFormat="false" ht="15" hidden="false" customHeight="false" outlineLevel="0" collapsed="false">
      <c r="A817" s="22" t="n">
        <v>45012</v>
      </c>
      <c r="B817" s="23" t="n">
        <v>12.75</v>
      </c>
    </row>
    <row r="818" customFormat="false" ht="15" hidden="false" customHeight="false" outlineLevel="0" collapsed="false">
      <c r="A818" s="22" t="n">
        <v>45013</v>
      </c>
      <c r="B818" s="23" t="n">
        <v>12.75</v>
      </c>
    </row>
    <row r="819" customFormat="false" ht="15" hidden="false" customHeight="false" outlineLevel="0" collapsed="false">
      <c r="A819" s="22" t="n">
        <v>45014</v>
      </c>
      <c r="B819" s="23" t="n">
        <v>12.75</v>
      </c>
    </row>
    <row r="820" customFormat="false" ht="15" hidden="false" customHeight="false" outlineLevel="0" collapsed="false">
      <c r="A820" s="22" t="n">
        <v>45015</v>
      </c>
      <c r="B820" s="23" t="n">
        <v>12.75</v>
      </c>
    </row>
    <row r="821" customFormat="false" ht="15" hidden="false" customHeight="false" outlineLevel="0" collapsed="false">
      <c r="A821" s="22" t="n">
        <v>45016</v>
      </c>
      <c r="B821" s="23" t="n">
        <v>13</v>
      </c>
    </row>
    <row r="822" customFormat="false" ht="15" hidden="false" customHeight="false" outlineLevel="0" collapsed="false">
      <c r="A822" s="22" t="n">
        <v>45017</v>
      </c>
      <c r="B822" s="23" t="n">
        <v>13</v>
      </c>
    </row>
    <row r="823" customFormat="false" ht="15" hidden="false" customHeight="false" outlineLevel="0" collapsed="false">
      <c r="A823" s="22" t="n">
        <v>45018</v>
      </c>
      <c r="B823" s="23" t="n">
        <v>13</v>
      </c>
    </row>
    <row r="824" customFormat="false" ht="15" hidden="false" customHeight="false" outlineLevel="0" collapsed="false">
      <c r="A824" s="22" t="n">
        <v>45019</v>
      </c>
      <c r="B824" s="23" t="n">
        <v>13</v>
      </c>
    </row>
    <row r="825" customFormat="false" ht="15" hidden="false" customHeight="false" outlineLevel="0" collapsed="false">
      <c r="A825" s="22" t="n">
        <v>45020</v>
      </c>
      <c r="B825" s="23" t="n">
        <v>13</v>
      </c>
    </row>
    <row r="826" customFormat="false" ht="15" hidden="false" customHeight="false" outlineLevel="0" collapsed="false">
      <c r="A826" s="22" t="n">
        <v>45021</v>
      </c>
      <c r="B826" s="23" t="n">
        <v>13</v>
      </c>
    </row>
    <row r="827" customFormat="false" ht="15" hidden="false" customHeight="false" outlineLevel="0" collapsed="false">
      <c r="A827" s="22" t="n">
        <v>45022</v>
      </c>
      <c r="B827" s="23" t="n">
        <v>13</v>
      </c>
    </row>
    <row r="828" customFormat="false" ht="15" hidden="false" customHeight="false" outlineLevel="0" collapsed="false">
      <c r="A828" s="22" t="n">
        <v>45023</v>
      </c>
      <c r="B828" s="23" t="n">
        <v>13</v>
      </c>
    </row>
    <row r="829" customFormat="false" ht="15" hidden="false" customHeight="false" outlineLevel="0" collapsed="false">
      <c r="A829" s="22" t="n">
        <v>45024</v>
      </c>
      <c r="B829" s="23" t="n">
        <v>13</v>
      </c>
    </row>
    <row r="830" customFormat="false" ht="15" hidden="false" customHeight="false" outlineLevel="0" collapsed="false">
      <c r="A830" s="22" t="n">
        <v>45025</v>
      </c>
      <c r="B830" s="23" t="n">
        <v>13</v>
      </c>
    </row>
    <row r="831" customFormat="false" ht="15" hidden="false" customHeight="false" outlineLevel="0" collapsed="false">
      <c r="A831" s="22" t="n">
        <v>45026</v>
      </c>
      <c r="B831" s="23" t="n">
        <v>13</v>
      </c>
    </row>
    <row r="832" customFormat="false" ht="15" hidden="false" customHeight="false" outlineLevel="0" collapsed="false">
      <c r="A832" s="22" t="n">
        <v>45027</v>
      </c>
      <c r="B832" s="23" t="n">
        <v>13</v>
      </c>
    </row>
    <row r="833" customFormat="false" ht="15" hidden="false" customHeight="false" outlineLevel="0" collapsed="false">
      <c r="A833" s="22" t="n">
        <v>45028</v>
      </c>
      <c r="B833" s="23" t="n">
        <v>13</v>
      </c>
    </row>
    <row r="834" customFormat="false" ht="15" hidden="false" customHeight="false" outlineLevel="0" collapsed="false">
      <c r="A834" s="22" t="n">
        <v>45029</v>
      </c>
      <c r="B834" s="23" t="n">
        <v>13</v>
      </c>
    </row>
    <row r="835" customFormat="false" ht="15" hidden="false" customHeight="false" outlineLevel="0" collapsed="false">
      <c r="A835" s="22" t="n">
        <v>45030</v>
      </c>
      <c r="B835" s="23" t="n">
        <v>13</v>
      </c>
    </row>
    <row r="836" customFormat="false" ht="15" hidden="false" customHeight="false" outlineLevel="0" collapsed="false">
      <c r="A836" s="22" t="n">
        <v>45031</v>
      </c>
      <c r="B836" s="23" t="n">
        <v>13</v>
      </c>
    </row>
    <row r="837" customFormat="false" ht="15" hidden="false" customHeight="false" outlineLevel="0" collapsed="false">
      <c r="A837" s="22" t="n">
        <v>45032</v>
      </c>
      <c r="B837" s="23" t="n">
        <v>13</v>
      </c>
    </row>
    <row r="838" customFormat="false" ht="15" hidden="false" customHeight="false" outlineLevel="0" collapsed="false">
      <c r="A838" s="22" t="n">
        <v>45033</v>
      </c>
      <c r="B838" s="23" t="n">
        <v>13</v>
      </c>
    </row>
    <row r="839" customFormat="false" ht="15" hidden="false" customHeight="false" outlineLevel="0" collapsed="false">
      <c r="A839" s="22" t="n">
        <v>45034</v>
      </c>
      <c r="B839" s="23" t="n">
        <v>13</v>
      </c>
    </row>
    <row r="840" customFormat="false" ht="15" hidden="false" customHeight="false" outlineLevel="0" collapsed="false">
      <c r="A840" s="22" t="n">
        <v>45035</v>
      </c>
      <c r="B840" s="23" t="n">
        <v>13</v>
      </c>
    </row>
    <row r="841" customFormat="false" ht="15" hidden="false" customHeight="false" outlineLevel="0" collapsed="false">
      <c r="A841" s="22" t="n">
        <v>45036</v>
      </c>
      <c r="B841" s="23" t="n">
        <v>13</v>
      </c>
    </row>
    <row r="842" customFormat="false" ht="15" hidden="false" customHeight="false" outlineLevel="0" collapsed="false">
      <c r="A842" s="22" t="n">
        <v>45037</v>
      </c>
      <c r="B842" s="23" t="n">
        <v>13</v>
      </c>
    </row>
    <row r="843" customFormat="false" ht="15" hidden="false" customHeight="false" outlineLevel="0" collapsed="false">
      <c r="A843" s="22" t="n">
        <v>45038</v>
      </c>
      <c r="B843" s="23" t="n">
        <v>13</v>
      </c>
    </row>
    <row r="844" customFormat="false" ht="15" hidden="false" customHeight="false" outlineLevel="0" collapsed="false">
      <c r="A844" s="22" t="n">
        <v>45039</v>
      </c>
      <c r="B844" s="23" t="n">
        <v>13</v>
      </c>
    </row>
    <row r="845" customFormat="false" ht="15" hidden="false" customHeight="false" outlineLevel="0" collapsed="false">
      <c r="A845" s="22" t="n">
        <v>45040</v>
      </c>
      <c r="B845" s="23" t="n">
        <v>13</v>
      </c>
    </row>
    <row r="846" customFormat="false" ht="15" hidden="false" customHeight="false" outlineLevel="0" collapsed="false">
      <c r="A846" s="22" t="n">
        <v>45041</v>
      </c>
      <c r="B846" s="23" t="n">
        <v>13</v>
      </c>
    </row>
    <row r="847" customFormat="false" ht="15" hidden="false" customHeight="false" outlineLevel="0" collapsed="false">
      <c r="A847" s="22" t="n">
        <v>45042</v>
      </c>
      <c r="B847" s="23" t="n">
        <v>13</v>
      </c>
    </row>
    <row r="848" customFormat="false" ht="15" hidden="false" customHeight="false" outlineLevel="0" collapsed="false">
      <c r="A848" s="22" t="n">
        <v>45043</v>
      </c>
      <c r="B848" s="23" t="n">
        <v>13</v>
      </c>
    </row>
    <row r="849" customFormat="false" ht="15" hidden="false" customHeight="false" outlineLevel="0" collapsed="false">
      <c r="A849" s="22" t="n">
        <v>45044</v>
      </c>
      <c r="B849" s="23" t="n">
        <v>13</v>
      </c>
    </row>
    <row r="850" customFormat="false" ht="15" hidden="false" customHeight="false" outlineLevel="0" collapsed="false">
      <c r="A850" s="22" t="n">
        <v>45045</v>
      </c>
      <c r="B850" s="23" t="n">
        <v>13</v>
      </c>
    </row>
    <row r="851" customFormat="false" ht="15" hidden="false" customHeight="false" outlineLevel="0" collapsed="false">
      <c r="A851" s="22" t="n">
        <v>45046</v>
      </c>
      <c r="B851" s="23" t="n">
        <v>13</v>
      </c>
    </row>
    <row r="852" customFormat="false" ht="15" hidden="false" customHeight="false" outlineLevel="0" collapsed="false">
      <c r="A852" s="22" t="n">
        <v>45047</v>
      </c>
      <c r="B852" s="23" t="n">
        <v>13</v>
      </c>
    </row>
    <row r="853" customFormat="false" ht="15" hidden="false" customHeight="false" outlineLevel="0" collapsed="false">
      <c r="A853" s="22" t="n">
        <v>45048</v>
      </c>
      <c r="B853" s="23" t="n">
        <v>13.25</v>
      </c>
    </row>
    <row r="854" customFormat="false" ht="15" hidden="false" customHeight="false" outlineLevel="0" collapsed="false">
      <c r="A854" s="22" t="n">
        <v>45049</v>
      </c>
      <c r="B854" s="23" t="n">
        <v>13.25</v>
      </c>
    </row>
    <row r="855" customFormat="false" ht="15" hidden="false" customHeight="false" outlineLevel="0" collapsed="false">
      <c r="A855" s="22" t="n">
        <v>45050</v>
      </c>
      <c r="B855" s="23" t="n">
        <v>13.25</v>
      </c>
    </row>
    <row r="856" customFormat="false" ht="15" hidden="false" customHeight="false" outlineLevel="0" collapsed="false">
      <c r="A856" s="22" t="n">
        <v>45051</v>
      </c>
      <c r="B856" s="23" t="n">
        <v>13.25</v>
      </c>
    </row>
    <row r="857" customFormat="false" ht="15" hidden="false" customHeight="false" outlineLevel="0" collapsed="false">
      <c r="A857" s="22" t="n">
        <v>45052</v>
      </c>
      <c r="B857" s="23" t="n">
        <v>13.25</v>
      </c>
    </row>
    <row r="858" customFormat="false" ht="15" hidden="false" customHeight="false" outlineLevel="0" collapsed="false">
      <c r="A858" s="22" t="n">
        <v>45053</v>
      </c>
      <c r="B858" s="23" t="n">
        <v>13.25</v>
      </c>
    </row>
    <row r="859" customFormat="false" ht="15" hidden="false" customHeight="false" outlineLevel="0" collapsed="false">
      <c r="A859" s="22" t="n">
        <v>45054</v>
      </c>
      <c r="B859" s="23" t="n">
        <v>13.25</v>
      </c>
    </row>
    <row r="860" customFormat="false" ht="15" hidden="false" customHeight="false" outlineLevel="0" collapsed="false">
      <c r="A860" s="22" t="n">
        <v>45055</v>
      </c>
      <c r="B860" s="23" t="n">
        <v>13.25</v>
      </c>
    </row>
    <row r="861" customFormat="false" ht="15" hidden="false" customHeight="false" outlineLevel="0" collapsed="false">
      <c r="A861" s="22" t="n">
        <v>45056</v>
      </c>
      <c r="B861" s="23" t="n">
        <v>13.25</v>
      </c>
    </row>
    <row r="862" customFormat="false" ht="15" hidden="false" customHeight="false" outlineLevel="0" collapsed="false">
      <c r="A862" s="22" t="n">
        <v>45057</v>
      </c>
      <c r="B862" s="23" t="n">
        <v>13.25</v>
      </c>
    </row>
    <row r="863" customFormat="false" ht="15" hidden="false" customHeight="false" outlineLevel="0" collapsed="false">
      <c r="A863" s="22" t="n">
        <v>45058</v>
      </c>
      <c r="B863" s="23" t="n">
        <v>13.25</v>
      </c>
    </row>
    <row r="864" customFormat="false" ht="15" hidden="false" customHeight="false" outlineLevel="0" collapsed="false">
      <c r="A864" s="22" t="n">
        <v>45059</v>
      </c>
      <c r="B864" s="23" t="n">
        <v>13.25</v>
      </c>
    </row>
    <row r="865" customFormat="false" ht="15" hidden="false" customHeight="false" outlineLevel="0" collapsed="false">
      <c r="A865" s="22" t="n">
        <v>45060</v>
      </c>
      <c r="B865" s="23" t="n">
        <v>13.25</v>
      </c>
    </row>
    <row r="866" customFormat="false" ht="15" hidden="false" customHeight="false" outlineLevel="0" collapsed="false">
      <c r="A866" s="22" t="n">
        <v>45061</v>
      </c>
      <c r="B866" s="23" t="n">
        <v>13.25</v>
      </c>
    </row>
    <row r="867" customFormat="false" ht="15" hidden="false" customHeight="false" outlineLevel="0" collapsed="false">
      <c r="A867" s="22" t="n">
        <v>45062</v>
      </c>
      <c r="B867" s="23" t="n">
        <v>13.25</v>
      </c>
    </row>
    <row r="868" customFormat="false" ht="15" hidden="false" customHeight="false" outlineLevel="0" collapsed="false">
      <c r="A868" s="22" t="n">
        <v>45063</v>
      </c>
      <c r="B868" s="23" t="n">
        <v>13.25</v>
      </c>
    </row>
    <row r="869" customFormat="false" ht="15" hidden="false" customHeight="false" outlineLevel="0" collapsed="false">
      <c r="A869" s="22" t="n">
        <v>45064</v>
      </c>
      <c r="B869" s="23" t="n">
        <v>13.25</v>
      </c>
    </row>
    <row r="870" customFormat="false" ht="15" hidden="false" customHeight="false" outlineLevel="0" collapsed="false">
      <c r="A870" s="22" t="n">
        <v>45065</v>
      </c>
      <c r="B870" s="23" t="n">
        <v>13.25</v>
      </c>
    </row>
    <row r="871" customFormat="false" ht="15" hidden="false" customHeight="false" outlineLevel="0" collapsed="false">
      <c r="A871" s="22" t="n">
        <v>45066</v>
      </c>
      <c r="B871" s="23" t="n">
        <v>13.25</v>
      </c>
    </row>
    <row r="872" customFormat="false" ht="15" hidden="false" customHeight="false" outlineLevel="0" collapsed="false">
      <c r="A872" s="22" t="n">
        <v>45067</v>
      </c>
      <c r="B872" s="23" t="n">
        <v>13.25</v>
      </c>
    </row>
    <row r="873" customFormat="false" ht="15" hidden="false" customHeight="false" outlineLevel="0" collapsed="false">
      <c r="A873" s="22" t="n">
        <v>45068</v>
      </c>
      <c r="B873" s="23" t="n">
        <v>13.25</v>
      </c>
    </row>
    <row r="874" customFormat="false" ht="15" hidden="false" customHeight="false" outlineLevel="0" collapsed="false">
      <c r="A874" s="22" t="n">
        <v>45069</v>
      </c>
      <c r="B874" s="23" t="n">
        <v>13.25</v>
      </c>
    </row>
    <row r="875" customFormat="false" ht="15" hidden="false" customHeight="false" outlineLevel="0" collapsed="false">
      <c r="A875" s="22" t="n">
        <v>45070</v>
      </c>
      <c r="B875" s="23" t="n">
        <v>13.25</v>
      </c>
    </row>
    <row r="876" customFormat="false" ht="15" hidden="false" customHeight="false" outlineLevel="0" collapsed="false">
      <c r="A876" s="22" t="n">
        <v>45071</v>
      </c>
      <c r="B876" s="23" t="n">
        <v>13.25</v>
      </c>
    </row>
    <row r="877" customFormat="false" ht="15" hidden="false" customHeight="false" outlineLevel="0" collapsed="false">
      <c r="A877" s="22" t="n">
        <v>45072</v>
      </c>
      <c r="B877" s="23" t="n">
        <v>13.25</v>
      </c>
    </row>
    <row r="878" customFormat="false" ht="15" hidden="false" customHeight="false" outlineLevel="0" collapsed="false">
      <c r="A878" s="22" t="n">
        <v>45073</v>
      </c>
      <c r="B878" s="23" t="n">
        <v>13.25</v>
      </c>
    </row>
    <row r="879" customFormat="false" ht="15" hidden="false" customHeight="false" outlineLevel="0" collapsed="false">
      <c r="A879" s="22" t="n">
        <v>45074</v>
      </c>
      <c r="B879" s="23" t="n">
        <v>13.25</v>
      </c>
    </row>
    <row r="880" customFormat="false" ht="15" hidden="false" customHeight="false" outlineLevel="0" collapsed="false">
      <c r="A880" s="22" t="n">
        <v>45075</v>
      </c>
      <c r="B880" s="23" t="n">
        <v>13.25</v>
      </c>
    </row>
    <row r="881" customFormat="false" ht="15" hidden="false" customHeight="false" outlineLevel="0" collapsed="false">
      <c r="A881" s="22" t="n">
        <v>45076</v>
      </c>
      <c r="B881" s="23" t="n">
        <v>13.25</v>
      </c>
    </row>
    <row r="882" customFormat="false" ht="15" hidden="false" customHeight="false" outlineLevel="0" collapsed="false">
      <c r="A882" s="22" t="n">
        <v>45077</v>
      </c>
      <c r="B882" s="23" t="n">
        <v>13.25</v>
      </c>
    </row>
    <row r="883" customFormat="false" ht="15" hidden="false" customHeight="false" outlineLevel="0" collapsed="false">
      <c r="A883" s="22" t="n">
        <v>45078</v>
      </c>
      <c r="B883" s="23" t="n">
        <v>13.25</v>
      </c>
    </row>
    <row r="884" customFormat="false" ht="15" hidden="false" customHeight="false" outlineLevel="0" collapsed="false">
      <c r="A884" s="22" t="n">
        <v>45079</v>
      </c>
      <c r="B884" s="23" t="n">
        <v>13.25</v>
      </c>
    </row>
    <row r="885" customFormat="false" ht="15" hidden="false" customHeight="false" outlineLevel="0" collapsed="false">
      <c r="A885" s="22" t="n">
        <v>45080</v>
      </c>
      <c r="B885" s="23" t="n">
        <v>13.25</v>
      </c>
    </row>
    <row r="886" customFormat="false" ht="15" hidden="false" customHeight="false" outlineLevel="0" collapsed="false">
      <c r="A886" s="22" t="n">
        <v>45081</v>
      </c>
      <c r="B886" s="23" t="n">
        <v>13.25</v>
      </c>
    </row>
    <row r="887" customFormat="false" ht="15" hidden="false" customHeight="false" outlineLevel="0" collapsed="false">
      <c r="A887" s="22" t="n">
        <v>45082</v>
      </c>
      <c r="B887" s="23" t="n">
        <v>13.25</v>
      </c>
    </row>
    <row r="888" customFormat="false" ht="15" hidden="false" customHeight="false" outlineLevel="0" collapsed="false">
      <c r="A888" s="22" t="n">
        <v>45083</v>
      </c>
      <c r="B888" s="23" t="n">
        <v>13.25</v>
      </c>
    </row>
    <row r="889" customFormat="false" ht="15" hidden="false" customHeight="false" outlineLevel="0" collapsed="false">
      <c r="A889" s="22" t="n">
        <v>45084</v>
      </c>
      <c r="B889" s="23" t="n">
        <v>13.25</v>
      </c>
    </row>
    <row r="890" customFormat="false" ht="15" hidden="false" customHeight="false" outlineLevel="0" collapsed="false">
      <c r="A890" s="22" t="n">
        <v>45085</v>
      </c>
      <c r="B890" s="23" t="n">
        <v>13.25</v>
      </c>
    </row>
    <row r="891" customFormat="false" ht="15" hidden="false" customHeight="false" outlineLevel="0" collapsed="false">
      <c r="A891" s="22" t="n">
        <v>45086</v>
      </c>
      <c r="B891" s="23" t="n">
        <v>13.25</v>
      </c>
    </row>
    <row r="892" customFormat="false" ht="15" hidden="false" customHeight="false" outlineLevel="0" collapsed="false">
      <c r="A892" s="22" t="n">
        <v>45087</v>
      </c>
      <c r="B892" s="23" t="n">
        <v>13.25</v>
      </c>
    </row>
    <row r="893" customFormat="false" ht="15" hidden="false" customHeight="false" outlineLevel="0" collapsed="false">
      <c r="A893" s="22" t="n">
        <v>45088</v>
      </c>
      <c r="B893" s="23" t="n">
        <v>13.25</v>
      </c>
    </row>
    <row r="894" customFormat="false" ht="15" hidden="false" customHeight="false" outlineLevel="0" collapsed="false">
      <c r="A894" s="22" t="n">
        <v>45089</v>
      </c>
      <c r="B894" s="23" t="n">
        <v>13.25</v>
      </c>
    </row>
    <row r="895" customFormat="false" ht="15" hidden="false" customHeight="false" outlineLevel="0" collapsed="false">
      <c r="A895" s="22" t="n">
        <v>45090</v>
      </c>
      <c r="B895" s="23" t="n">
        <v>13.25</v>
      </c>
    </row>
    <row r="896" customFormat="false" ht="15" hidden="false" customHeight="false" outlineLevel="0" collapsed="false">
      <c r="A896" s="22" t="n">
        <v>45091</v>
      </c>
      <c r="B896" s="23" t="n">
        <v>13.25</v>
      </c>
    </row>
    <row r="897" customFormat="false" ht="15" hidden="false" customHeight="false" outlineLevel="0" collapsed="false">
      <c r="A897" s="22" t="n">
        <v>45092</v>
      </c>
      <c r="B897" s="23" t="n">
        <v>13.25</v>
      </c>
    </row>
    <row r="898" customFormat="false" ht="15" hidden="false" customHeight="false" outlineLevel="0" collapsed="false">
      <c r="A898" s="22" t="n">
        <v>45093</v>
      </c>
      <c r="B898" s="23" t="n">
        <v>13.25</v>
      </c>
    </row>
    <row r="899" customFormat="false" ht="15" hidden="false" customHeight="false" outlineLevel="0" collapsed="false">
      <c r="A899" s="22" t="n">
        <v>45094</v>
      </c>
      <c r="B899" s="23" t="n">
        <v>13.25</v>
      </c>
    </row>
    <row r="900" customFormat="false" ht="15" hidden="false" customHeight="false" outlineLevel="0" collapsed="false">
      <c r="A900" s="22" t="n">
        <v>45095</v>
      </c>
      <c r="B900" s="23" t="n">
        <v>13.25</v>
      </c>
    </row>
    <row r="901" customFormat="false" ht="15" hidden="false" customHeight="false" outlineLevel="0" collapsed="false">
      <c r="A901" s="22" t="n">
        <v>45096</v>
      </c>
      <c r="B901" s="23" t="n">
        <v>13.25</v>
      </c>
    </row>
    <row r="902" customFormat="false" ht="15" hidden="false" customHeight="false" outlineLevel="0" collapsed="false">
      <c r="A902" s="22" t="n">
        <v>45097</v>
      </c>
      <c r="B902" s="23" t="n">
        <v>13.25</v>
      </c>
    </row>
    <row r="903" customFormat="false" ht="15" hidden="false" customHeight="false" outlineLevel="0" collapsed="false">
      <c r="A903" s="22" t="n">
        <v>45098</v>
      </c>
      <c r="B903" s="23" t="n">
        <v>13.25</v>
      </c>
    </row>
    <row r="904" customFormat="false" ht="15" hidden="false" customHeight="false" outlineLevel="0" collapsed="false">
      <c r="A904" s="22" t="n">
        <v>45099</v>
      </c>
      <c r="B904" s="23" t="n">
        <v>13.25</v>
      </c>
    </row>
    <row r="905" customFormat="false" ht="15" hidden="false" customHeight="false" outlineLevel="0" collapsed="false">
      <c r="A905" s="22" t="n">
        <v>45100</v>
      </c>
      <c r="B905" s="23" t="n">
        <v>13.25</v>
      </c>
    </row>
    <row r="906" customFormat="false" ht="15" hidden="false" customHeight="false" outlineLevel="0" collapsed="false">
      <c r="A906" s="22" t="n">
        <v>45101</v>
      </c>
      <c r="B906" s="23" t="n">
        <v>13.25</v>
      </c>
    </row>
    <row r="907" customFormat="false" ht="15" hidden="false" customHeight="false" outlineLevel="0" collapsed="false">
      <c r="A907" s="22" t="n">
        <v>45102</v>
      </c>
      <c r="B907" s="23" t="n">
        <v>13.25</v>
      </c>
    </row>
    <row r="908" customFormat="false" ht="15" hidden="false" customHeight="false" outlineLevel="0" collapsed="false">
      <c r="A908" s="22" t="n">
        <v>45103</v>
      </c>
      <c r="B908" s="23" t="n">
        <v>13.25</v>
      </c>
    </row>
    <row r="909" customFormat="false" ht="15" hidden="false" customHeight="false" outlineLevel="0" collapsed="false">
      <c r="A909" s="22" t="n">
        <v>45104</v>
      </c>
      <c r="B909" s="23" t="n">
        <v>13.25</v>
      </c>
    </row>
    <row r="910" customFormat="false" ht="15" hidden="false" customHeight="false" outlineLevel="0" collapsed="false">
      <c r="A910" s="22" t="n">
        <v>45105</v>
      </c>
      <c r="B910" s="23" t="n">
        <v>13.25</v>
      </c>
    </row>
    <row r="911" customFormat="false" ht="15" hidden="false" customHeight="false" outlineLevel="0" collapsed="false">
      <c r="A911" s="22" t="n">
        <v>45106</v>
      </c>
      <c r="B911" s="23" t="n">
        <v>13.25</v>
      </c>
    </row>
    <row r="912" customFormat="false" ht="15" hidden="false" customHeight="false" outlineLevel="0" collapsed="false">
      <c r="A912" s="22" t="n">
        <v>45107</v>
      </c>
      <c r="B912" s="23" t="n">
        <v>13.25</v>
      </c>
    </row>
    <row r="913" customFormat="false" ht="15" hidden="false" customHeight="false" outlineLevel="0" collapsed="false">
      <c r="A913" s="22" t="n">
        <v>45108</v>
      </c>
      <c r="B913" s="23" t="n">
        <v>13.25</v>
      </c>
    </row>
    <row r="914" customFormat="false" ht="15" hidden="false" customHeight="false" outlineLevel="0" collapsed="false">
      <c r="A914" s="22" t="n">
        <v>45109</v>
      </c>
      <c r="B914" s="23" t="n">
        <v>13.25</v>
      </c>
    </row>
    <row r="915" customFormat="false" ht="15" hidden="false" customHeight="false" outlineLevel="0" collapsed="false">
      <c r="A915" s="22" t="n">
        <v>45110</v>
      </c>
      <c r="B915" s="23" t="n">
        <v>13.25</v>
      </c>
    </row>
    <row r="916" customFormat="false" ht="15" hidden="false" customHeight="false" outlineLevel="0" collapsed="false">
      <c r="A916" s="22" t="n">
        <v>45111</v>
      </c>
      <c r="B916" s="23" t="n">
        <v>13.25</v>
      </c>
    </row>
    <row r="917" customFormat="false" ht="15" hidden="false" customHeight="false" outlineLevel="0" collapsed="false">
      <c r="A917" s="22" t="n">
        <v>45112</v>
      </c>
      <c r="B917" s="23" t="n">
        <v>13.25</v>
      </c>
    </row>
    <row r="918" customFormat="false" ht="15" hidden="false" customHeight="false" outlineLevel="0" collapsed="false">
      <c r="A918" s="22" t="n">
        <v>45113</v>
      </c>
      <c r="B918" s="23" t="n">
        <v>13.25</v>
      </c>
    </row>
    <row r="919" customFormat="false" ht="15" hidden="false" customHeight="false" outlineLevel="0" collapsed="false">
      <c r="A919" s="22" t="n">
        <v>45114</v>
      </c>
      <c r="B919" s="23" t="n">
        <v>13.25</v>
      </c>
    </row>
    <row r="920" customFormat="false" ht="15" hidden="false" customHeight="false" outlineLevel="0" collapsed="false">
      <c r="A920" s="22" t="n">
        <v>45115</v>
      </c>
      <c r="B920" s="23" t="n">
        <v>13.25</v>
      </c>
    </row>
    <row r="921" customFormat="false" ht="15" hidden="false" customHeight="false" outlineLevel="0" collapsed="false">
      <c r="A921" s="22" t="n">
        <v>45116</v>
      </c>
      <c r="B921" s="23" t="n">
        <v>13.25</v>
      </c>
    </row>
    <row r="922" customFormat="false" ht="15" hidden="false" customHeight="false" outlineLevel="0" collapsed="false">
      <c r="A922" s="22" t="n">
        <v>45117</v>
      </c>
      <c r="B922" s="23" t="n">
        <v>13.25</v>
      </c>
    </row>
    <row r="923" customFormat="false" ht="15" hidden="false" customHeight="false" outlineLevel="0" collapsed="false">
      <c r="A923" s="22" t="n">
        <v>45118</v>
      </c>
      <c r="B923" s="23" t="n">
        <v>13.25</v>
      </c>
    </row>
    <row r="924" customFormat="false" ht="15" hidden="false" customHeight="false" outlineLevel="0" collapsed="false">
      <c r="A924" s="22" t="n">
        <v>45119</v>
      </c>
      <c r="B924" s="23" t="n">
        <v>13.25</v>
      </c>
    </row>
    <row r="925" customFormat="false" ht="15" hidden="false" customHeight="false" outlineLevel="0" collapsed="false">
      <c r="A925" s="22" t="n">
        <v>45120</v>
      </c>
      <c r="B925" s="23" t="n">
        <v>13.25</v>
      </c>
    </row>
    <row r="926" customFormat="false" ht="15" hidden="false" customHeight="false" outlineLevel="0" collapsed="false">
      <c r="A926" s="22" t="n">
        <v>45121</v>
      </c>
      <c r="B926" s="23" t="n">
        <v>13.25</v>
      </c>
    </row>
    <row r="927" customFormat="false" ht="15" hidden="false" customHeight="false" outlineLevel="0" collapsed="false">
      <c r="A927" s="22" t="n">
        <v>45122</v>
      </c>
      <c r="B927" s="23" t="n">
        <v>13.25</v>
      </c>
    </row>
    <row r="928" customFormat="false" ht="15" hidden="false" customHeight="false" outlineLevel="0" collapsed="false">
      <c r="A928" s="22" t="n">
        <v>45123</v>
      </c>
      <c r="B928" s="23" t="n">
        <v>13.25</v>
      </c>
    </row>
    <row r="929" customFormat="false" ht="15" hidden="false" customHeight="false" outlineLevel="0" collapsed="false">
      <c r="A929" s="22" t="n">
        <v>45124</v>
      </c>
      <c r="B929" s="23" t="n">
        <v>13.25</v>
      </c>
    </row>
    <row r="930" customFormat="false" ht="15" hidden="false" customHeight="false" outlineLevel="0" collapsed="false">
      <c r="A930" s="22" t="n">
        <v>45125</v>
      </c>
      <c r="B930" s="23" t="n">
        <v>13.25</v>
      </c>
    </row>
    <row r="931" customFormat="false" ht="15" hidden="false" customHeight="false" outlineLevel="0" collapsed="false">
      <c r="A931" s="22" t="n">
        <v>45126</v>
      </c>
      <c r="B931" s="23" t="n">
        <v>13.25</v>
      </c>
    </row>
    <row r="932" customFormat="false" ht="15" hidden="false" customHeight="false" outlineLevel="0" collapsed="false">
      <c r="A932" s="22" t="n">
        <v>45127</v>
      </c>
      <c r="B932" s="23" t="n">
        <v>13.25</v>
      </c>
    </row>
    <row r="933" customFormat="false" ht="15" hidden="false" customHeight="false" outlineLevel="0" collapsed="false">
      <c r="A933" s="22" t="n">
        <v>45128</v>
      </c>
      <c r="B933" s="23" t="n">
        <v>13.25</v>
      </c>
    </row>
    <row r="934" customFormat="false" ht="15" hidden="false" customHeight="false" outlineLevel="0" collapsed="false">
      <c r="A934" s="22" t="n">
        <v>45129</v>
      </c>
      <c r="B934" s="23" t="n">
        <v>13.25</v>
      </c>
    </row>
    <row r="935" customFormat="false" ht="15" hidden="false" customHeight="false" outlineLevel="0" collapsed="false">
      <c r="A935" s="22" t="n">
        <v>45130</v>
      </c>
      <c r="B935" s="23" t="n">
        <v>13.25</v>
      </c>
    </row>
    <row r="936" customFormat="false" ht="15" hidden="false" customHeight="false" outlineLevel="0" collapsed="false">
      <c r="A936" s="22" t="n">
        <v>45131</v>
      </c>
      <c r="B936" s="23" t="n">
        <v>13.25</v>
      </c>
    </row>
    <row r="937" customFormat="false" ht="15" hidden="false" customHeight="false" outlineLevel="0" collapsed="false">
      <c r="A937" s="22" t="n">
        <v>45132</v>
      </c>
      <c r="B937" s="23" t="n">
        <v>13.25</v>
      </c>
    </row>
    <row r="938" customFormat="false" ht="15" hidden="false" customHeight="false" outlineLevel="0" collapsed="false">
      <c r="A938" s="22" t="n">
        <v>45133</v>
      </c>
      <c r="B938" s="23" t="n">
        <v>13.25</v>
      </c>
    </row>
    <row r="939" customFormat="false" ht="15" hidden="false" customHeight="false" outlineLevel="0" collapsed="false">
      <c r="A939" s="22" t="n">
        <v>45134</v>
      </c>
      <c r="B939" s="23" t="n">
        <v>13.25</v>
      </c>
    </row>
    <row r="940" customFormat="false" ht="15" hidden="false" customHeight="false" outlineLevel="0" collapsed="false">
      <c r="A940" s="22" t="n">
        <v>45135</v>
      </c>
      <c r="B940" s="23" t="n">
        <v>13.25</v>
      </c>
    </row>
    <row r="941" customFormat="false" ht="15" hidden="false" customHeight="false" outlineLevel="0" collapsed="false">
      <c r="A941" s="22" t="n">
        <v>45136</v>
      </c>
      <c r="B941" s="23" t="n">
        <v>13.25</v>
      </c>
    </row>
    <row r="942" customFormat="false" ht="15" hidden="false" customHeight="false" outlineLevel="0" collapsed="false">
      <c r="A942" s="22" t="n">
        <v>45137</v>
      </c>
      <c r="B942" s="23" t="n">
        <v>13.25</v>
      </c>
    </row>
    <row r="943" customFormat="false" ht="15" hidden="false" customHeight="false" outlineLevel="0" collapsed="false">
      <c r="A943" s="22" t="n">
        <v>45138</v>
      </c>
      <c r="B943" s="23" t="n">
        <v>13.25</v>
      </c>
    </row>
    <row r="944" customFormat="false" ht="15" hidden="false" customHeight="false" outlineLevel="0" collapsed="false">
      <c r="A944" s="22" t="n">
        <v>45139</v>
      </c>
      <c r="B944" s="23" t="n">
        <v>13.25</v>
      </c>
    </row>
    <row r="945" customFormat="false" ht="15" hidden="false" customHeight="false" outlineLevel="0" collapsed="false">
      <c r="A945" s="22" t="n">
        <v>45140</v>
      </c>
      <c r="B945" s="23" t="n">
        <v>13.25</v>
      </c>
    </row>
    <row r="946" customFormat="false" ht="15" hidden="false" customHeight="false" outlineLevel="0" collapsed="false">
      <c r="A946" s="22" t="n">
        <v>45141</v>
      </c>
      <c r="B946" s="23" t="n">
        <v>13.25</v>
      </c>
    </row>
    <row r="947" customFormat="false" ht="15" hidden="false" customHeight="false" outlineLevel="0" collapsed="false">
      <c r="A947" s="22" t="n">
        <v>45142</v>
      </c>
      <c r="B947" s="23" t="n">
        <v>13.25</v>
      </c>
    </row>
    <row r="948" customFormat="false" ht="15" hidden="false" customHeight="false" outlineLevel="0" collapsed="false">
      <c r="A948" s="22" t="n">
        <v>45143</v>
      </c>
      <c r="B948" s="23" t="n">
        <v>13.25</v>
      </c>
    </row>
    <row r="949" customFormat="false" ht="15" hidden="false" customHeight="false" outlineLevel="0" collapsed="false">
      <c r="A949" s="22" t="n">
        <v>45144</v>
      </c>
      <c r="B949" s="23" t="n">
        <v>13.25</v>
      </c>
    </row>
    <row r="950" customFormat="false" ht="15" hidden="false" customHeight="false" outlineLevel="0" collapsed="false">
      <c r="A950" s="22" t="n">
        <v>45145</v>
      </c>
      <c r="B950" s="23" t="n">
        <v>13.25</v>
      </c>
    </row>
    <row r="951" customFormat="false" ht="15" hidden="false" customHeight="false" outlineLevel="0" collapsed="false">
      <c r="A951" s="22" t="n">
        <v>45146</v>
      </c>
      <c r="B951" s="23" t="n">
        <v>13.25</v>
      </c>
    </row>
    <row r="952" customFormat="false" ht="15" hidden="false" customHeight="false" outlineLevel="0" collapsed="false">
      <c r="A952" s="22" t="n">
        <v>45147</v>
      </c>
      <c r="B952" s="23" t="n">
        <v>13.25</v>
      </c>
    </row>
    <row r="953" customFormat="false" ht="15" hidden="false" customHeight="false" outlineLevel="0" collapsed="false">
      <c r="A953" s="22" t="n">
        <v>45148</v>
      </c>
      <c r="B953" s="23" t="n">
        <v>13.25</v>
      </c>
    </row>
    <row r="954" customFormat="false" ht="15" hidden="false" customHeight="false" outlineLevel="0" collapsed="false">
      <c r="A954" s="22" t="n">
        <v>45149</v>
      </c>
      <c r="B954" s="23" t="n">
        <v>13.25</v>
      </c>
    </row>
    <row r="955" customFormat="false" ht="15" hidden="false" customHeight="false" outlineLevel="0" collapsed="false">
      <c r="A955" s="22" t="n">
        <v>45150</v>
      </c>
      <c r="B955" s="23" t="n">
        <v>13.25</v>
      </c>
    </row>
    <row r="956" customFormat="false" ht="15" hidden="false" customHeight="false" outlineLevel="0" collapsed="false">
      <c r="A956" s="22" t="n">
        <v>45151</v>
      </c>
      <c r="B956" s="23" t="n">
        <v>13.25</v>
      </c>
    </row>
    <row r="957" customFormat="false" ht="15" hidden="false" customHeight="false" outlineLevel="0" collapsed="false">
      <c r="A957" s="22" t="n">
        <v>45152</v>
      </c>
      <c r="B957" s="23" t="n">
        <v>13.25</v>
      </c>
    </row>
    <row r="958" customFormat="false" ht="15" hidden="false" customHeight="false" outlineLevel="0" collapsed="false">
      <c r="A958" s="22" t="n">
        <v>45153</v>
      </c>
      <c r="B958" s="23" t="n">
        <v>13.25</v>
      </c>
    </row>
    <row r="959" customFormat="false" ht="15" hidden="false" customHeight="false" outlineLevel="0" collapsed="false">
      <c r="A959" s="22" t="n">
        <v>45154</v>
      </c>
      <c r="B959" s="23" t="n">
        <v>13.25</v>
      </c>
    </row>
    <row r="960" customFormat="false" ht="15" hidden="false" customHeight="false" outlineLevel="0" collapsed="false">
      <c r="A960" s="22" t="n">
        <v>45155</v>
      </c>
      <c r="B960" s="23" t="n">
        <v>13.25</v>
      </c>
    </row>
    <row r="961" customFormat="false" ht="15" hidden="false" customHeight="false" outlineLevel="0" collapsed="false">
      <c r="A961" s="22" t="n">
        <v>45156</v>
      </c>
      <c r="B961" s="23" t="n">
        <v>13.25</v>
      </c>
    </row>
    <row r="962" customFormat="false" ht="15" hidden="false" customHeight="false" outlineLevel="0" collapsed="false">
      <c r="A962" s="22" t="n">
        <v>45157</v>
      </c>
      <c r="B962" s="23" t="n">
        <v>13.25</v>
      </c>
    </row>
    <row r="963" customFormat="false" ht="15" hidden="false" customHeight="false" outlineLevel="0" collapsed="false">
      <c r="A963" s="22" t="n">
        <v>45158</v>
      </c>
      <c r="B963" s="23" t="n">
        <v>13.25</v>
      </c>
    </row>
    <row r="964" customFormat="false" ht="15" hidden="false" customHeight="false" outlineLevel="0" collapsed="false">
      <c r="A964" s="22" t="n">
        <v>45159</v>
      </c>
      <c r="B964" s="23" t="n">
        <v>13.25</v>
      </c>
    </row>
    <row r="965" customFormat="false" ht="15" hidden="false" customHeight="false" outlineLevel="0" collapsed="false">
      <c r="A965" s="22" t="n">
        <v>45160</v>
      </c>
      <c r="B965" s="23" t="n">
        <v>13.25</v>
      </c>
    </row>
    <row r="966" customFormat="false" ht="15" hidden="false" customHeight="false" outlineLevel="0" collapsed="false">
      <c r="A966" s="22" t="n">
        <v>45161</v>
      </c>
      <c r="B966" s="23" t="n">
        <v>13.25</v>
      </c>
    </row>
    <row r="967" customFormat="false" ht="15" hidden="false" customHeight="false" outlineLevel="0" collapsed="false">
      <c r="A967" s="22" t="n">
        <v>45162</v>
      </c>
      <c r="B967" s="23" t="n">
        <v>13.25</v>
      </c>
    </row>
    <row r="968" customFormat="false" ht="15" hidden="false" customHeight="false" outlineLevel="0" collapsed="false">
      <c r="A968" s="22" t="n">
        <v>45163</v>
      </c>
      <c r="B968" s="23" t="n">
        <v>13.25</v>
      </c>
    </row>
    <row r="969" customFormat="false" ht="15" hidden="false" customHeight="false" outlineLevel="0" collapsed="false">
      <c r="A969" s="22" t="n">
        <v>45164</v>
      </c>
      <c r="B969" s="23" t="n">
        <v>13.25</v>
      </c>
    </row>
    <row r="970" customFormat="false" ht="15" hidden="false" customHeight="false" outlineLevel="0" collapsed="false">
      <c r="A970" s="22" t="n">
        <v>45165</v>
      </c>
      <c r="B970" s="23" t="n">
        <v>13.25</v>
      </c>
    </row>
    <row r="971" customFormat="false" ht="15" hidden="false" customHeight="false" outlineLevel="0" collapsed="false">
      <c r="A971" s="22" t="n">
        <v>45166</v>
      </c>
      <c r="B971" s="23" t="n">
        <v>13.25</v>
      </c>
    </row>
    <row r="972" customFormat="false" ht="15" hidden="false" customHeight="false" outlineLevel="0" collapsed="false">
      <c r="A972" s="22" t="n">
        <v>45167</v>
      </c>
      <c r="B972" s="23" t="n">
        <v>13.25</v>
      </c>
    </row>
    <row r="973" customFormat="false" ht="15" hidden="false" customHeight="false" outlineLevel="0" collapsed="false">
      <c r="A973" s="22" t="n">
        <v>45168</v>
      </c>
      <c r="B973" s="23" t="n">
        <v>13.25</v>
      </c>
    </row>
    <row r="974" customFormat="false" ht="15" hidden="false" customHeight="false" outlineLevel="0" collapsed="false">
      <c r="A974" s="22" t="n">
        <v>45169</v>
      </c>
      <c r="B974" s="23" t="n">
        <v>13.25</v>
      </c>
    </row>
    <row r="975" customFormat="false" ht="15" hidden="false" customHeight="false" outlineLevel="0" collapsed="false">
      <c r="A975" s="22" t="n">
        <v>45170</v>
      </c>
      <c r="B975" s="23" t="n">
        <v>13.25</v>
      </c>
    </row>
    <row r="976" customFormat="false" ht="15" hidden="false" customHeight="false" outlineLevel="0" collapsed="false">
      <c r="A976" s="22" t="n">
        <v>45171</v>
      </c>
      <c r="B976" s="23" t="n">
        <v>13.25</v>
      </c>
    </row>
    <row r="977" customFormat="false" ht="15" hidden="false" customHeight="false" outlineLevel="0" collapsed="false">
      <c r="A977" s="22" t="n">
        <v>45172</v>
      </c>
      <c r="B977" s="23" t="n">
        <v>13.25</v>
      </c>
    </row>
    <row r="978" customFormat="false" ht="15" hidden="false" customHeight="false" outlineLevel="0" collapsed="false">
      <c r="A978" s="22" t="n">
        <v>45173</v>
      </c>
      <c r="B978" s="23" t="n">
        <v>13.25</v>
      </c>
    </row>
    <row r="979" customFormat="false" ht="15" hidden="false" customHeight="false" outlineLevel="0" collapsed="false">
      <c r="A979" s="22" t="n">
        <v>45174</v>
      </c>
      <c r="B979" s="23" t="n">
        <v>13.25</v>
      </c>
    </row>
    <row r="980" customFormat="false" ht="15" hidden="false" customHeight="false" outlineLevel="0" collapsed="false">
      <c r="A980" s="22" t="n">
        <v>45175</v>
      </c>
      <c r="B980" s="23" t="n">
        <v>13.25</v>
      </c>
    </row>
    <row r="981" customFormat="false" ht="15" hidden="false" customHeight="false" outlineLevel="0" collapsed="false">
      <c r="A981" s="22" t="n">
        <v>45176</v>
      </c>
      <c r="B981" s="23" t="n">
        <v>13.25</v>
      </c>
    </row>
    <row r="982" customFormat="false" ht="15" hidden="false" customHeight="false" outlineLevel="0" collapsed="false">
      <c r="A982" s="22" t="n">
        <v>45177</v>
      </c>
      <c r="B982" s="23" t="n">
        <v>13.25</v>
      </c>
    </row>
    <row r="983" customFormat="false" ht="15" hidden="false" customHeight="false" outlineLevel="0" collapsed="false">
      <c r="A983" s="22" t="n">
        <v>45178</v>
      </c>
      <c r="B983" s="23" t="n">
        <v>13.25</v>
      </c>
    </row>
    <row r="984" customFormat="false" ht="15" hidden="false" customHeight="false" outlineLevel="0" collapsed="false">
      <c r="A984" s="22" t="n">
        <v>45179</v>
      </c>
      <c r="B984" s="23" t="n">
        <v>13.25</v>
      </c>
    </row>
    <row r="985" customFormat="false" ht="15" hidden="false" customHeight="false" outlineLevel="0" collapsed="false">
      <c r="A985" s="22" t="n">
        <v>45180</v>
      </c>
      <c r="B985" s="23" t="n">
        <v>13.25</v>
      </c>
    </row>
    <row r="986" customFormat="false" ht="15" hidden="false" customHeight="false" outlineLevel="0" collapsed="false">
      <c r="A986" s="22" t="n">
        <v>45181</v>
      </c>
      <c r="B986" s="23" t="n">
        <v>13.25</v>
      </c>
    </row>
    <row r="987" customFormat="false" ht="15" hidden="false" customHeight="false" outlineLevel="0" collapsed="false">
      <c r="A987" s="22" t="n">
        <v>45182</v>
      </c>
      <c r="B987" s="23" t="n">
        <v>13.25</v>
      </c>
    </row>
    <row r="988" customFormat="false" ht="15" hidden="false" customHeight="false" outlineLevel="0" collapsed="false">
      <c r="A988" s="22" t="n">
        <v>45183</v>
      </c>
      <c r="B988" s="23" t="n">
        <v>13.25</v>
      </c>
    </row>
    <row r="989" customFormat="false" ht="15" hidden="false" customHeight="false" outlineLevel="0" collapsed="false">
      <c r="A989" s="22" t="n">
        <v>45184</v>
      </c>
      <c r="B989" s="23" t="n">
        <v>13.25</v>
      </c>
    </row>
    <row r="990" customFormat="false" ht="15" hidden="false" customHeight="false" outlineLevel="0" collapsed="false">
      <c r="A990" s="22" t="n">
        <v>45185</v>
      </c>
      <c r="B990" s="23" t="n">
        <v>13.25</v>
      </c>
    </row>
    <row r="991" customFormat="false" ht="15" hidden="false" customHeight="false" outlineLevel="0" collapsed="false">
      <c r="A991" s="22" t="n">
        <v>45186</v>
      </c>
      <c r="B991" s="23" t="n">
        <v>13.25</v>
      </c>
    </row>
    <row r="992" customFormat="false" ht="15" hidden="false" customHeight="false" outlineLevel="0" collapsed="false">
      <c r="A992" s="22" t="n">
        <v>45187</v>
      </c>
      <c r="B992" s="23" t="n">
        <v>13.25</v>
      </c>
    </row>
    <row r="993" customFormat="false" ht="15" hidden="false" customHeight="false" outlineLevel="0" collapsed="false">
      <c r="A993" s="22" t="n">
        <v>45188</v>
      </c>
      <c r="B993" s="23" t="n">
        <v>13.25</v>
      </c>
    </row>
    <row r="994" customFormat="false" ht="15" hidden="false" customHeight="false" outlineLevel="0" collapsed="false">
      <c r="A994" s="22" t="n">
        <v>45189</v>
      </c>
      <c r="B994" s="23" t="n">
        <v>13.25</v>
      </c>
    </row>
    <row r="995" customFormat="false" ht="15" hidden="false" customHeight="false" outlineLevel="0" collapsed="false">
      <c r="A995" s="22" t="n">
        <v>45190</v>
      </c>
      <c r="B995" s="23" t="n">
        <v>13.25</v>
      </c>
    </row>
    <row r="996" customFormat="false" ht="15" hidden="false" customHeight="false" outlineLevel="0" collapsed="false">
      <c r="A996" s="22" t="n">
        <v>45191</v>
      </c>
      <c r="B996" s="23" t="n">
        <v>13.25</v>
      </c>
    </row>
    <row r="997" customFormat="false" ht="15" hidden="false" customHeight="false" outlineLevel="0" collapsed="false">
      <c r="A997" s="22" t="n">
        <v>45192</v>
      </c>
      <c r="B997" s="23" t="n">
        <v>13.25</v>
      </c>
    </row>
    <row r="998" customFormat="false" ht="15" hidden="false" customHeight="false" outlineLevel="0" collapsed="false">
      <c r="A998" s="22" t="n">
        <v>45193</v>
      </c>
      <c r="B998" s="23" t="n">
        <v>13.25</v>
      </c>
    </row>
    <row r="999" customFormat="false" ht="15" hidden="false" customHeight="false" outlineLevel="0" collapsed="false">
      <c r="A999" s="22" t="n">
        <v>45194</v>
      </c>
      <c r="B999" s="23" t="n">
        <v>13.25</v>
      </c>
    </row>
    <row r="1000" customFormat="false" ht="15" hidden="false" customHeight="false" outlineLevel="0" collapsed="false">
      <c r="A1000" s="22" t="n">
        <v>45195</v>
      </c>
      <c r="B1000" s="23" t="n">
        <v>13.25</v>
      </c>
    </row>
    <row r="1001" customFormat="false" ht="15" hidden="false" customHeight="false" outlineLevel="0" collapsed="false">
      <c r="A1001" s="22" t="n">
        <v>45196</v>
      </c>
      <c r="B1001" s="23" t="n">
        <v>13.25</v>
      </c>
    </row>
    <row r="1002" customFormat="false" ht="15" hidden="false" customHeight="false" outlineLevel="0" collapsed="false">
      <c r="A1002" s="22" t="n">
        <v>45197</v>
      </c>
      <c r="B1002" s="23" t="n">
        <v>13.25</v>
      </c>
    </row>
    <row r="1003" customFormat="false" ht="15" hidden="false" customHeight="false" outlineLevel="0" collapsed="false">
      <c r="A1003" s="22" t="n">
        <v>45198</v>
      </c>
      <c r="B1003" s="23" t="n">
        <v>13.25</v>
      </c>
    </row>
    <row r="1004" customFormat="false" ht="15" hidden="false" customHeight="false" outlineLevel="0" collapsed="false">
      <c r="A1004" s="22" t="n">
        <v>45199</v>
      </c>
      <c r="B1004" s="23" t="n">
        <v>13.25</v>
      </c>
    </row>
    <row r="1005" customFormat="false" ht="15" hidden="false" customHeight="false" outlineLevel="0" collapsed="false">
      <c r="A1005" s="22" t="n">
        <v>45200</v>
      </c>
      <c r="B1005" s="23" t="n">
        <v>13.25</v>
      </c>
    </row>
    <row r="1006" customFormat="false" ht="15" hidden="false" customHeight="false" outlineLevel="0" collapsed="false">
      <c r="A1006" s="22" t="n">
        <v>45201</v>
      </c>
      <c r="B1006" s="23" t="n">
        <v>13.25</v>
      </c>
    </row>
    <row r="1007" customFormat="false" ht="15" hidden="false" customHeight="false" outlineLevel="0" collapsed="false">
      <c r="A1007" s="22" t="n">
        <v>45202</v>
      </c>
      <c r="B1007" s="23" t="n">
        <v>13.25</v>
      </c>
    </row>
    <row r="1008" customFormat="false" ht="15" hidden="false" customHeight="false" outlineLevel="0" collapsed="false">
      <c r="A1008" s="22" t="n">
        <v>45203</v>
      </c>
      <c r="B1008" s="23" t="n">
        <v>13.25</v>
      </c>
    </row>
    <row r="1009" customFormat="false" ht="15" hidden="false" customHeight="false" outlineLevel="0" collapsed="false">
      <c r="A1009" s="22" t="n">
        <v>45204</v>
      </c>
      <c r="B1009" s="23" t="n">
        <v>13.25</v>
      </c>
    </row>
    <row r="1010" customFormat="false" ht="15" hidden="false" customHeight="false" outlineLevel="0" collapsed="false">
      <c r="A1010" s="22" t="n">
        <v>45205</v>
      </c>
      <c r="B1010" s="23" t="n">
        <v>13.25</v>
      </c>
    </row>
    <row r="1011" customFormat="false" ht="15" hidden="false" customHeight="false" outlineLevel="0" collapsed="false">
      <c r="A1011" s="22" t="n">
        <v>45206</v>
      </c>
      <c r="B1011" s="23" t="n">
        <v>13.25</v>
      </c>
    </row>
    <row r="1012" customFormat="false" ht="15" hidden="false" customHeight="false" outlineLevel="0" collapsed="false">
      <c r="A1012" s="22" t="n">
        <v>45207</v>
      </c>
      <c r="B1012" s="23" t="n">
        <v>13.25</v>
      </c>
    </row>
    <row r="1013" customFormat="false" ht="15" hidden="false" customHeight="false" outlineLevel="0" collapsed="false">
      <c r="A1013" s="22" t="n">
        <v>45208</v>
      </c>
      <c r="B1013" s="23" t="n">
        <v>13.25</v>
      </c>
    </row>
    <row r="1014" customFormat="false" ht="15" hidden="false" customHeight="false" outlineLevel="0" collapsed="false">
      <c r="A1014" s="22" t="n">
        <v>45209</v>
      </c>
      <c r="B1014" s="23" t="n">
        <v>13.25</v>
      </c>
    </row>
    <row r="1015" customFormat="false" ht="15" hidden="false" customHeight="false" outlineLevel="0" collapsed="false">
      <c r="A1015" s="22" t="n">
        <v>45210</v>
      </c>
      <c r="B1015" s="23" t="n">
        <v>13.25</v>
      </c>
    </row>
    <row r="1016" customFormat="false" ht="15" hidden="false" customHeight="false" outlineLevel="0" collapsed="false">
      <c r="A1016" s="22" t="n">
        <v>45211</v>
      </c>
      <c r="B1016" s="23" t="n">
        <v>13.25</v>
      </c>
    </row>
    <row r="1017" customFormat="false" ht="15" hidden="false" customHeight="false" outlineLevel="0" collapsed="false">
      <c r="A1017" s="22" t="n">
        <v>45212</v>
      </c>
      <c r="B1017" s="23" t="n">
        <v>13.25</v>
      </c>
    </row>
    <row r="1018" customFormat="false" ht="15" hidden="false" customHeight="false" outlineLevel="0" collapsed="false">
      <c r="A1018" s="22" t="n">
        <v>45213</v>
      </c>
      <c r="B1018" s="23" t="n">
        <v>13.25</v>
      </c>
    </row>
    <row r="1019" customFormat="false" ht="15" hidden="false" customHeight="false" outlineLevel="0" collapsed="false">
      <c r="A1019" s="22" t="n">
        <v>45214</v>
      </c>
      <c r="B1019" s="23" t="n">
        <v>13.25</v>
      </c>
    </row>
    <row r="1020" customFormat="false" ht="15" hidden="false" customHeight="false" outlineLevel="0" collapsed="false">
      <c r="A1020" s="22" t="n">
        <v>45215</v>
      </c>
      <c r="B1020" s="23" t="n">
        <v>13.25</v>
      </c>
    </row>
    <row r="1021" customFormat="false" ht="15" hidden="false" customHeight="false" outlineLevel="0" collapsed="false">
      <c r="A1021" s="22" t="n">
        <v>45216</v>
      </c>
      <c r="B1021" s="23" t="n">
        <v>13.25</v>
      </c>
    </row>
    <row r="1022" customFormat="false" ht="15" hidden="false" customHeight="false" outlineLevel="0" collapsed="false">
      <c r="A1022" s="22" t="n">
        <v>45217</v>
      </c>
      <c r="B1022" s="23" t="n">
        <v>13.25</v>
      </c>
    </row>
    <row r="1023" customFormat="false" ht="15" hidden="false" customHeight="false" outlineLevel="0" collapsed="false">
      <c r="A1023" s="22" t="n">
        <v>45218</v>
      </c>
      <c r="B1023" s="23" t="n">
        <v>13.25</v>
      </c>
    </row>
    <row r="1024" customFormat="false" ht="15" hidden="false" customHeight="false" outlineLevel="0" collapsed="false">
      <c r="A1024" s="22" t="n">
        <v>45219</v>
      </c>
      <c r="B1024" s="23" t="n">
        <v>13.25</v>
      </c>
    </row>
    <row r="1025" customFormat="false" ht="15" hidden="false" customHeight="false" outlineLevel="0" collapsed="false">
      <c r="A1025" s="22" t="n">
        <v>45220</v>
      </c>
      <c r="B1025" s="23" t="n">
        <v>13.25</v>
      </c>
    </row>
    <row r="1026" customFormat="false" ht="15" hidden="false" customHeight="false" outlineLevel="0" collapsed="false">
      <c r="A1026" s="22" t="n">
        <v>45221</v>
      </c>
      <c r="B1026" s="23" t="n">
        <v>13.25</v>
      </c>
    </row>
    <row r="1027" customFormat="false" ht="15" hidden="false" customHeight="false" outlineLevel="0" collapsed="false">
      <c r="A1027" s="22" t="n">
        <v>45222</v>
      </c>
      <c r="B1027" s="23" t="n">
        <v>13.25</v>
      </c>
    </row>
    <row r="1028" customFormat="false" ht="15" hidden="false" customHeight="false" outlineLevel="0" collapsed="false">
      <c r="A1028" s="22" t="n">
        <v>45223</v>
      </c>
      <c r="B1028" s="23" t="n">
        <v>13.25</v>
      </c>
    </row>
    <row r="1029" customFormat="false" ht="15" hidden="false" customHeight="false" outlineLevel="0" collapsed="false">
      <c r="A1029" s="22" t="n">
        <v>45224</v>
      </c>
      <c r="B1029" s="23" t="n">
        <v>13.25</v>
      </c>
    </row>
    <row r="1030" customFormat="false" ht="15" hidden="false" customHeight="false" outlineLevel="0" collapsed="false">
      <c r="A1030" s="22" t="n">
        <v>45225</v>
      </c>
      <c r="B1030" s="23" t="n">
        <v>13.25</v>
      </c>
    </row>
    <row r="1031" customFormat="false" ht="15" hidden="false" customHeight="false" outlineLevel="0" collapsed="false">
      <c r="A1031" s="22" t="n">
        <v>45226</v>
      </c>
      <c r="B1031" s="23" t="n">
        <v>13.25</v>
      </c>
    </row>
    <row r="1032" customFormat="false" ht="15" hidden="false" customHeight="false" outlineLevel="0" collapsed="false">
      <c r="A1032" s="22" t="n">
        <v>45227</v>
      </c>
      <c r="B1032" s="23" t="n">
        <v>13.25</v>
      </c>
    </row>
    <row r="1033" customFormat="false" ht="15" hidden="false" customHeight="false" outlineLevel="0" collapsed="false">
      <c r="A1033" s="22" t="n">
        <v>45228</v>
      </c>
      <c r="B1033" s="23" t="n">
        <v>13.25</v>
      </c>
    </row>
    <row r="1034" customFormat="false" ht="15" hidden="false" customHeight="false" outlineLevel="0" collapsed="false">
      <c r="A1034" s="22" t="n">
        <v>45229</v>
      </c>
      <c r="B1034" s="23" t="n">
        <v>13.25</v>
      </c>
    </row>
    <row r="1035" customFormat="false" ht="15" hidden="false" customHeight="false" outlineLevel="0" collapsed="false">
      <c r="A1035" s="22" t="n">
        <v>45230</v>
      </c>
      <c r="B1035" s="23" t="n">
        <v>13.25</v>
      </c>
    </row>
    <row r="1036" customFormat="false" ht="15" hidden="false" customHeight="false" outlineLevel="0" collapsed="false">
      <c r="A1036" s="22" t="n">
        <v>45231</v>
      </c>
      <c r="B1036" s="23" t="n">
        <v>13.25</v>
      </c>
    </row>
    <row r="1037" customFormat="false" ht="15" hidden="false" customHeight="false" outlineLevel="0" collapsed="false">
      <c r="A1037" s="22" t="n">
        <v>45232</v>
      </c>
      <c r="B1037" s="23" t="n">
        <v>13.25</v>
      </c>
    </row>
    <row r="1038" customFormat="false" ht="15" hidden="false" customHeight="false" outlineLevel="0" collapsed="false">
      <c r="A1038" s="22" t="n">
        <v>45233</v>
      </c>
      <c r="B1038" s="23" t="n">
        <v>13.25</v>
      </c>
    </row>
    <row r="1039" customFormat="false" ht="15" hidden="false" customHeight="false" outlineLevel="0" collapsed="false">
      <c r="A1039" s="22" t="n">
        <v>45234</v>
      </c>
      <c r="B1039" s="23" t="n">
        <v>13.25</v>
      </c>
    </row>
    <row r="1040" customFormat="false" ht="15" hidden="false" customHeight="false" outlineLevel="0" collapsed="false">
      <c r="A1040" s="22" t="n">
        <v>45235</v>
      </c>
      <c r="B1040" s="23" t="n">
        <v>13.25</v>
      </c>
    </row>
    <row r="1041" customFormat="false" ht="15" hidden="false" customHeight="false" outlineLevel="0" collapsed="false">
      <c r="A1041" s="22" t="n">
        <v>45236</v>
      </c>
      <c r="B1041" s="23" t="n">
        <v>13.25</v>
      </c>
    </row>
    <row r="1042" customFormat="false" ht="15" hidden="false" customHeight="false" outlineLevel="0" collapsed="false">
      <c r="A1042" s="22" t="n">
        <v>45237</v>
      </c>
      <c r="B1042" s="23" t="n">
        <v>13.25</v>
      </c>
    </row>
    <row r="1043" customFormat="false" ht="15" hidden="false" customHeight="false" outlineLevel="0" collapsed="false">
      <c r="A1043" s="22" t="n">
        <v>45238</v>
      </c>
      <c r="B1043" s="23" t="n">
        <v>13.25</v>
      </c>
    </row>
    <row r="1044" customFormat="false" ht="15" hidden="false" customHeight="false" outlineLevel="0" collapsed="false">
      <c r="A1044" s="22" t="n">
        <v>45239</v>
      </c>
      <c r="B1044" s="23" t="n">
        <v>13.25</v>
      </c>
    </row>
    <row r="1045" customFormat="false" ht="15" hidden="false" customHeight="false" outlineLevel="0" collapsed="false">
      <c r="A1045" s="22" t="n">
        <v>45240</v>
      </c>
      <c r="B1045" s="23" t="n">
        <v>13.25</v>
      </c>
    </row>
    <row r="1046" customFormat="false" ht="15" hidden="false" customHeight="false" outlineLevel="0" collapsed="false">
      <c r="A1046" s="22" t="n">
        <v>45241</v>
      </c>
      <c r="B1046" s="23" t="n">
        <v>13.25</v>
      </c>
    </row>
    <row r="1047" customFormat="false" ht="15" hidden="false" customHeight="false" outlineLevel="0" collapsed="false">
      <c r="A1047" s="22" t="n">
        <v>45242</v>
      </c>
      <c r="B1047" s="23" t="n">
        <v>13.25</v>
      </c>
    </row>
    <row r="1048" customFormat="false" ht="15" hidden="false" customHeight="false" outlineLevel="0" collapsed="false">
      <c r="A1048" s="22" t="n">
        <v>45243</v>
      </c>
      <c r="B1048" s="23" t="n">
        <v>13.25</v>
      </c>
    </row>
    <row r="1049" customFormat="false" ht="15" hidden="false" customHeight="false" outlineLevel="0" collapsed="false">
      <c r="A1049" s="22" t="n">
        <v>45244</v>
      </c>
      <c r="B1049" s="23" t="n">
        <v>13.25</v>
      </c>
    </row>
    <row r="1050" customFormat="false" ht="15" hidden="false" customHeight="false" outlineLevel="0" collapsed="false">
      <c r="A1050" s="22" t="n">
        <v>45245</v>
      </c>
      <c r="B1050" s="23" t="n">
        <v>13.25</v>
      </c>
    </row>
    <row r="1051" customFormat="false" ht="15" hidden="false" customHeight="false" outlineLevel="0" collapsed="false">
      <c r="A1051" s="22" t="n">
        <v>45246</v>
      </c>
      <c r="B1051" s="23" t="n">
        <v>13.25</v>
      </c>
    </row>
    <row r="1052" customFormat="false" ht="15" hidden="false" customHeight="false" outlineLevel="0" collapsed="false">
      <c r="A1052" s="22" t="n">
        <v>45247</v>
      </c>
      <c r="B1052" s="23" t="n">
        <v>13.25</v>
      </c>
    </row>
    <row r="1053" customFormat="false" ht="15" hidden="false" customHeight="false" outlineLevel="0" collapsed="false">
      <c r="A1053" s="22" t="n">
        <v>45248</v>
      </c>
      <c r="B1053" s="23" t="n">
        <v>13.25</v>
      </c>
    </row>
    <row r="1054" customFormat="false" ht="15" hidden="false" customHeight="false" outlineLevel="0" collapsed="false">
      <c r="A1054" s="22" t="n">
        <v>45249</v>
      </c>
      <c r="B1054" s="23" t="n">
        <v>13.25</v>
      </c>
    </row>
    <row r="1055" customFormat="false" ht="15" hidden="false" customHeight="false" outlineLevel="0" collapsed="false">
      <c r="A1055" s="22" t="n">
        <v>45250</v>
      </c>
      <c r="B1055" s="23" t="n">
        <v>13.25</v>
      </c>
    </row>
    <row r="1056" customFormat="false" ht="15" hidden="false" customHeight="false" outlineLevel="0" collapsed="false">
      <c r="A1056" s="22" t="n">
        <v>45251</v>
      </c>
      <c r="B1056" s="23" t="n">
        <v>13.25</v>
      </c>
    </row>
    <row r="1057" customFormat="false" ht="15" hidden="false" customHeight="false" outlineLevel="0" collapsed="false">
      <c r="A1057" s="22" t="n">
        <v>45252</v>
      </c>
      <c r="B1057" s="23" t="n">
        <v>13.25</v>
      </c>
    </row>
    <row r="1058" customFormat="false" ht="15" hidden="false" customHeight="false" outlineLevel="0" collapsed="false">
      <c r="A1058" s="22" t="n">
        <v>45253</v>
      </c>
      <c r="B1058" s="23" t="n">
        <v>13.25</v>
      </c>
    </row>
    <row r="1059" customFormat="false" ht="15" hidden="false" customHeight="false" outlineLevel="0" collapsed="false">
      <c r="A1059" s="22" t="n">
        <v>45254</v>
      </c>
      <c r="B1059" s="23" t="n">
        <v>13.25</v>
      </c>
    </row>
    <row r="1060" customFormat="false" ht="15" hidden="false" customHeight="false" outlineLevel="0" collapsed="false">
      <c r="A1060" s="22" t="n">
        <v>45255</v>
      </c>
      <c r="B1060" s="23" t="n">
        <v>13.25</v>
      </c>
    </row>
    <row r="1061" customFormat="false" ht="15" hidden="false" customHeight="false" outlineLevel="0" collapsed="false">
      <c r="A1061" s="22" t="n">
        <v>45256</v>
      </c>
      <c r="B1061" s="23" t="n">
        <v>13.25</v>
      </c>
    </row>
    <row r="1062" customFormat="false" ht="15" hidden="false" customHeight="false" outlineLevel="0" collapsed="false">
      <c r="A1062" s="22" t="n">
        <v>45257</v>
      </c>
      <c r="B1062" s="23" t="n">
        <v>13.25</v>
      </c>
    </row>
    <row r="1063" customFormat="false" ht="15" hidden="false" customHeight="false" outlineLevel="0" collapsed="false">
      <c r="A1063" s="22" t="n">
        <v>45258</v>
      </c>
      <c r="B1063" s="23" t="n">
        <v>13.25</v>
      </c>
    </row>
    <row r="1064" customFormat="false" ht="15" hidden="false" customHeight="false" outlineLevel="0" collapsed="false">
      <c r="A1064" s="22" t="n">
        <v>45259</v>
      </c>
      <c r="B1064" s="23" t="n">
        <v>13.25</v>
      </c>
    </row>
    <row r="1065" customFormat="false" ht="15" hidden="false" customHeight="false" outlineLevel="0" collapsed="false">
      <c r="A1065" s="22" t="n">
        <v>45260</v>
      </c>
      <c r="B1065" s="23" t="n">
        <v>13.25</v>
      </c>
    </row>
    <row r="1066" customFormat="false" ht="15" hidden="false" customHeight="false" outlineLevel="0" collapsed="false">
      <c r="A1066" s="22" t="n">
        <v>45261</v>
      </c>
      <c r="B1066" s="23" t="n">
        <v>13.25</v>
      </c>
    </row>
    <row r="1067" customFormat="false" ht="15" hidden="false" customHeight="false" outlineLevel="0" collapsed="false">
      <c r="A1067" s="22" t="n">
        <v>45262</v>
      </c>
      <c r="B1067" s="23" t="n">
        <v>13.25</v>
      </c>
    </row>
    <row r="1068" customFormat="false" ht="15" hidden="false" customHeight="false" outlineLevel="0" collapsed="false">
      <c r="A1068" s="22" t="n">
        <v>45263</v>
      </c>
      <c r="B1068" s="23" t="n">
        <v>13.25</v>
      </c>
    </row>
    <row r="1069" customFormat="false" ht="15" hidden="false" customHeight="false" outlineLevel="0" collapsed="false">
      <c r="A1069" s="22" t="n">
        <v>45264</v>
      </c>
      <c r="B1069" s="23" t="n">
        <v>13.25</v>
      </c>
    </row>
    <row r="1070" customFormat="false" ht="15" hidden="false" customHeight="false" outlineLevel="0" collapsed="false">
      <c r="A1070" s="22" t="n">
        <v>45265</v>
      </c>
      <c r="B1070" s="23" t="n">
        <v>13.25</v>
      </c>
    </row>
    <row r="1071" customFormat="false" ht="15" hidden="false" customHeight="false" outlineLevel="0" collapsed="false">
      <c r="A1071" s="22" t="n">
        <v>45266</v>
      </c>
      <c r="B1071" s="23" t="n">
        <v>13.25</v>
      </c>
    </row>
    <row r="1072" customFormat="false" ht="15" hidden="false" customHeight="false" outlineLevel="0" collapsed="false">
      <c r="A1072" s="22" t="n">
        <v>45267</v>
      </c>
      <c r="B1072" s="23" t="n">
        <v>13.25</v>
      </c>
    </row>
    <row r="1073" customFormat="false" ht="15" hidden="false" customHeight="false" outlineLevel="0" collapsed="false">
      <c r="A1073" s="22" t="n">
        <v>45268</v>
      </c>
      <c r="B1073" s="23" t="n">
        <v>13.25</v>
      </c>
    </row>
    <row r="1074" customFormat="false" ht="15" hidden="false" customHeight="false" outlineLevel="0" collapsed="false">
      <c r="A1074" s="22" t="n">
        <v>45269</v>
      </c>
      <c r="B1074" s="23" t="n">
        <v>13.25</v>
      </c>
    </row>
    <row r="1075" customFormat="false" ht="15" hidden="false" customHeight="false" outlineLevel="0" collapsed="false">
      <c r="A1075" s="22" t="n">
        <v>45270</v>
      </c>
      <c r="B1075" s="23" t="n">
        <v>13.25</v>
      </c>
    </row>
    <row r="1076" customFormat="false" ht="15" hidden="false" customHeight="false" outlineLevel="0" collapsed="false">
      <c r="A1076" s="22" t="n">
        <v>45271</v>
      </c>
      <c r="B1076" s="23" t="n">
        <v>13.25</v>
      </c>
    </row>
    <row r="1077" customFormat="false" ht="15" hidden="false" customHeight="false" outlineLevel="0" collapsed="false">
      <c r="A1077" s="22" t="n">
        <v>45272</v>
      </c>
      <c r="B1077" s="23" t="n">
        <v>13.25</v>
      </c>
    </row>
    <row r="1078" customFormat="false" ht="15" hidden="false" customHeight="false" outlineLevel="0" collapsed="false">
      <c r="A1078" s="22" t="n">
        <v>45273</v>
      </c>
      <c r="B1078" s="23" t="n">
        <v>13.25</v>
      </c>
    </row>
    <row r="1079" customFormat="false" ht="15" hidden="false" customHeight="false" outlineLevel="0" collapsed="false">
      <c r="A1079" s="22" t="n">
        <v>45274</v>
      </c>
      <c r="B1079" s="23" t="n">
        <v>13.25</v>
      </c>
    </row>
    <row r="1080" customFormat="false" ht="15" hidden="false" customHeight="false" outlineLevel="0" collapsed="false">
      <c r="A1080" s="22" t="n">
        <v>45275</v>
      </c>
      <c r="B1080" s="23" t="n">
        <v>13.25</v>
      </c>
    </row>
    <row r="1081" customFormat="false" ht="15" hidden="false" customHeight="false" outlineLevel="0" collapsed="false">
      <c r="A1081" s="22" t="n">
        <v>45276</v>
      </c>
      <c r="B1081" s="23" t="n">
        <v>13.25</v>
      </c>
    </row>
    <row r="1082" customFormat="false" ht="15" hidden="false" customHeight="false" outlineLevel="0" collapsed="false">
      <c r="A1082" s="22" t="n">
        <v>45277</v>
      </c>
      <c r="B1082" s="23" t="n">
        <v>13.25</v>
      </c>
    </row>
    <row r="1083" customFormat="false" ht="15" hidden="false" customHeight="false" outlineLevel="0" collapsed="false">
      <c r="A1083" s="22" t="n">
        <v>45278</v>
      </c>
      <c r="B1083" s="23" t="n">
        <v>13.25</v>
      </c>
    </row>
    <row r="1084" customFormat="false" ht="15" hidden="false" customHeight="false" outlineLevel="0" collapsed="false">
      <c r="A1084" s="22" t="n">
        <v>45279</v>
      </c>
      <c r="B1084" s="23" t="n">
        <v>13.25</v>
      </c>
    </row>
    <row r="1085" customFormat="false" ht="15" hidden="false" customHeight="false" outlineLevel="0" collapsed="false">
      <c r="A1085" s="22" t="n">
        <v>45280</v>
      </c>
      <c r="B1085" s="23" t="n">
        <v>13</v>
      </c>
    </row>
    <row r="1086" customFormat="false" ht="15" hidden="false" customHeight="false" outlineLevel="0" collapsed="false">
      <c r="A1086" s="22" t="n">
        <v>45281</v>
      </c>
      <c r="B1086" s="23" t="n">
        <v>13</v>
      </c>
    </row>
    <row r="1087" customFormat="false" ht="15" hidden="false" customHeight="false" outlineLevel="0" collapsed="false">
      <c r="A1087" s="22" t="n">
        <v>45282</v>
      </c>
      <c r="B1087" s="23" t="n">
        <v>13</v>
      </c>
    </row>
    <row r="1088" customFormat="false" ht="15" hidden="false" customHeight="false" outlineLevel="0" collapsed="false">
      <c r="A1088" s="22" t="n">
        <v>45283</v>
      </c>
      <c r="B1088" s="23" t="n">
        <v>13</v>
      </c>
    </row>
    <row r="1089" customFormat="false" ht="15" hidden="false" customHeight="false" outlineLevel="0" collapsed="false">
      <c r="A1089" s="22" t="n">
        <v>45284</v>
      </c>
      <c r="B1089" s="23" t="n">
        <v>13</v>
      </c>
    </row>
    <row r="1090" customFormat="false" ht="15" hidden="false" customHeight="false" outlineLevel="0" collapsed="false">
      <c r="A1090" s="22" t="n">
        <v>45285</v>
      </c>
      <c r="B1090" s="23" t="n">
        <v>13</v>
      </c>
    </row>
    <row r="1091" customFormat="false" ht="15" hidden="false" customHeight="false" outlineLevel="0" collapsed="false">
      <c r="A1091" s="22" t="n">
        <v>45286</v>
      </c>
      <c r="B1091" s="23" t="n">
        <v>13</v>
      </c>
    </row>
    <row r="1092" customFormat="false" ht="15" hidden="false" customHeight="false" outlineLevel="0" collapsed="false">
      <c r="A1092" s="22" t="n">
        <v>45287</v>
      </c>
      <c r="B1092" s="23" t="n">
        <v>13</v>
      </c>
    </row>
    <row r="1093" customFormat="false" ht="15" hidden="false" customHeight="false" outlineLevel="0" collapsed="false">
      <c r="A1093" s="22" t="n">
        <v>45288</v>
      </c>
      <c r="B1093" s="23" t="n">
        <v>13</v>
      </c>
    </row>
    <row r="1094" customFormat="false" ht="15" hidden="false" customHeight="false" outlineLevel="0" collapsed="false">
      <c r="A1094" s="22" t="n">
        <v>45289</v>
      </c>
      <c r="B1094" s="23" t="n">
        <v>13</v>
      </c>
    </row>
    <row r="1095" customFormat="false" ht="15" hidden="false" customHeight="false" outlineLevel="0" collapsed="false">
      <c r="A1095" s="22" t="n">
        <v>45290</v>
      </c>
      <c r="B1095" s="23" t="n">
        <v>13</v>
      </c>
    </row>
    <row r="1096" customFormat="false" ht="15" hidden="false" customHeight="false" outlineLevel="0" collapsed="false">
      <c r="A1096" s="22" t="n">
        <v>45291</v>
      </c>
      <c r="B1096" s="23" t="n">
        <v>13</v>
      </c>
    </row>
    <row r="1097" customFormat="false" ht="15" hidden="false" customHeight="false" outlineLevel="0" collapsed="false">
      <c r="A1097" s="22" t="n">
        <v>45292</v>
      </c>
      <c r="B1097" s="23" t="n">
        <v>13</v>
      </c>
    </row>
    <row r="1098" customFormat="false" ht="15" hidden="false" customHeight="false" outlineLevel="0" collapsed="false">
      <c r="A1098" s="22" t="n">
        <v>45293</v>
      </c>
      <c r="B1098" s="23" t="n">
        <v>13</v>
      </c>
    </row>
    <row r="1099" customFormat="false" ht="15" hidden="false" customHeight="false" outlineLevel="0" collapsed="false">
      <c r="A1099" s="22" t="n">
        <v>45294</v>
      </c>
      <c r="B1099" s="23" t="n">
        <v>13</v>
      </c>
    </row>
    <row r="1100" customFormat="false" ht="15" hidden="false" customHeight="false" outlineLevel="0" collapsed="false">
      <c r="A1100" s="22" t="n">
        <v>45295</v>
      </c>
      <c r="B1100" s="23" t="n">
        <v>13</v>
      </c>
    </row>
    <row r="1101" customFormat="false" ht="15" hidden="false" customHeight="false" outlineLevel="0" collapsed="false">
      <c r="A1101" s="22" t="n">
        <v>45296</v>
      </c>
      <c r="B1101" s="23" t="n">
        <v>13</v>
      </c>
    </row>
    <row r="1102" customFormat="false" ht="15" hidden="false" customHeight="false" outlineLevel="0" collapsed="false">
      <c r="A1102" s="22" t="n">
        <v>45297</v>
      </c>
      <c r="B1102" s="23" t="n">
        <v>13</v>
      </c>
    </row>
    <row r="1103" customFormat="false" ht="15" hidden="false" customHeight="false" outlineLevel="0" collapsed="false">
      <c r="A1103" s="22" t="n">
        <v>45298</v>
      </c>
      <c r="B1103" s="23" t="n">
        <v>13</v>
      </c>
    </row>
    <row r="1104" customFormat="false" ht="15" hidden="false" customHeight="false" outlineLevel="0" collapsed="false">
      <c r="A1104" s="22" t="n">
        <v>45299</v>
      </c>
      <c r="B1104" s="23" t="n">
        <v>13</v>
      </c>
    </row>
    <row r="1105" customFormat="false" ht="15" hidden="false" customHeight="false" outlineLevel="0" collapsed="false">
      <c r="A1105" s="22" t="n">
        <v>45300</v>
      </c>
      <c r="B1105" s="23" t="n">
        <v>13</v>
      </c>
    </row>
    <row r="1106" customFormat="false" ht="15" hidden="false" customHeight="false" outlineLevel="0" collapsed="false">
      <c r="A1106" s="22" t="n">
        <v>45301</v>
      </c>
      <c r="B1106" s="23" t="n">
        <v>13</v>
      </c>
    </row>
    <row r="1107" customFormat="false" ht="15" hidden="false" customHeight="false" outlineLevel="0" collapsed="false">
      <c r="A1107" s="22" t="n">
        <v>45302</v>
      </c>
      <c r="B1107" s="23" t="n">
        <v>13</v>
      </c>
    </row>
    <row r="1108" customFormat="false" ht="15" hidden="false" customHeight="false" outlineLevel="0" collapsed="false">
      <c r="A1108" s="22" t="n">
        <v>45303</v>
      </c>
      <c r="B1108" s="23" t="n">
        <v>13</v>
      </c>
    </row>
    <row r="1109" customFormat="false" ht="15" hidden="false" customHeight="false" outlineLevel="0" collapsed="false">
      <c r="A1109" s="22" t="n">
        <v>45304</v>
      </c>
      <c r="B1109" s="23" t="n">
        <v>13</v>
      </c>
    </row>
    <row r="1110" customFormat="false" ht="15" hidden="false" customHeight="false" outlineLevel="0" collapsed="false">
      <c r="A1110" s="22" t="n">
        <v>45305</v>
      </c>
      <c r="B1110" s="23" t="n">
        <v>13</v>
      </c>
    </row>
    <row r="1111" customFormat="false" ht="15" hidden="false" customHeight="false" outlineLevel="0" collapsed="false">
      <c r="A1111" s="22" t="n">
        <v>45306</v>
      </c>
      <c r="B1111" s="23" t="n">
        <v>13</v>
      </c>
    </row>
    <row r="1112" customFormat="false" ht="15" hidden="false" customHeight="false" outlineLevel="0" collapsed="false">
      <c r="A1112" s="22" t="n">
        <v>45307</v>
      </c>
      <c r="B1112" s="23" t="n">
        <v>13</v>
      </c>
    </row>
    <row r="1113" customFormat="false" ht="15" hidden="false" customHeight="false" outlineLevel="0" collapsed="false">
      <c r="A1113" s="22" t="n">
        <v>45308</v>
      </c>
      <c r="B1113" s="23" t="n">
        <v>13</v>
      </c>
    </row>
    <row r="1114" customFormat="false" ht="15" hidden="false" customHeight="false" outlineLevel="0" collapsed="false">
      <c r="A1114" s="22" t="n">
        <v>45309</v>
      </c>
      <c r="B1114" s="23" t="n">
        <v>13</v>
      </c>
    </row>
    <row r="1115" customFormat="false" ht="15" hidden="false" customHeight="false" outlineLevel="0" collapsed="false">
      <c r="A1115" s="22" t="n">
        <v>45310</v>
      </c>
      <c r="B1115" s="23" t="n">
        <v>13</v>
      </c>
    </row>
    <row r="1116" customFormat="false" ht="15" hidden="false" customHeight="false" outlineLevel="0" collapsed="false">
      <c r="A1116" s="22" t="n">
        <v>45311</v>
      </c>
      <c r="B1116" s="23" t="n">
        <v>13</v>
      </c>
    </row>
    <row r="1117" customFormat="false" ht="15" hidden="false" customHeight="false" outlineLevel="0" collapsed="false">
      <c r="A1117" s="22" t="n">
        <v>45312</v>
      </c>
      <c r="B1117" s="23" t="n">
        <v>13</v>
      </c>
    </row>
    <row r="1118" customFormat="false" ht="15" hidden="false" customHeight="false" outlineLevel="0" collapsed="false">
      <c r="A1118" s="22" t="n">
        <v>45313</v>
      </c>
      <c r="B1118" s="23" t="n">
        <v>13</v>
      </c>
    </row>
    <row r="1119" customFormat="false" ht="15" hidden="false" customHeight="false" outlineLevel="0" collapsed="false">
      <c r="A1119" s="22" t="n">
        <v>45314</v>
      </c>
      <c r="B1119" s="23" t="n">
        <v>13</v>
      </c>
    </row>
    <row r="1120" customFormat="false" ht="15" hidden="false" customHeight="false" outlineLevel="0" collapsed="false">
      <c r="A1120" s="22" t="n">
        <v>45315</v>
      </c>
      <c r="B1120" s="23" t="n">
        <v>13</v>
      </c>
    </row>
    <row r="1121" customFormat="false" ht="15" hidden="false" customHeight="false" outlineLevel="0" collapsed="false">
      <c r="A1121" s="22" t="n">
        <v>45316</v>
      </c>
      <c r="B1121" s="23" t="n">
        <v>13</v>
      </c>
    </row>
    <row r="1122" customFormat="false" ht="15" hidden="false" customHeight="false" outlineLevel="0" collapsed="false">
      <c r="A1122" s="22" t="n">
        <v>45317</v>
      </c>
      <c r="B1122" s="23" t="n">
        <v>13</v>
      </c>
    </row>
    <row r="1123" customFormat="false" ht="15" hidden="false" customHeight="false" outlineLevel="0" collapsed="false">
      <c r="A1123" s="22" t="n">
        <v>45318</v>
      </c>
      <c r="B1123" s="23" t="n">
        <v>13</v>
      </c>
    </row>
    <row r="1124" customFormat="false" ht="15" hidden="false" customHeight="false" outlineLevel="0" collapsed="false">
      <c r="A1124" s="22" t="n">
        <v>45319</v>
      </c>
      <c r="B1124" s="23" t="n">
        <v>13</v>
      </c>
    </row>
    <row r="1125" customFormat="false" ht="15" hidden="false" customHeight="false" outlineLevel="0" collapsed="false">
      <c r="A1125" s="22" t="n">
        <v>45320</v>
      </c>
      <c r="B1125" s="23" t="n">
        <v>13</v>
      </c>
    </row>
    <row r="1126" customFormat="false" ht="15" hidden="false" customHeight="false" outlineLevel="0" collapsed="false">
      <c r="A1126" s="22" t="n">
        <v>45321</v>
      </c>
      <c r="B1126" s="23" t="n">
        <v>13</v>
      </c>
    </row>
    <row r="1127" customFormat="false" ht="15" hidden="false" customHeight="false" outlineLevel="0" collapsed="false">
      <c r="A1127" s="22" t="n">
        <v>45322</v>
      </c>
      <c r="B1127" s="23" t="n">
        <v>13</v>
      </c>
    </row>
    <row r="1128" customFormat="false" ht="15" hidden="false" customHeight="false" outlineLevel="0" collapsed="false">
      <c r="A1128" s="22" t="n">
        <v>45323</v>
      </c>
      <c r="B1128" s="23" t="n">
        <v>12.75</v>
      </c>
    </row>
    <row r="1129" customFormat="false" ht="15" hidden="false" customHeight="false" outlineLevel="0" collapsed="false">
      <c r="A1129" s="22" t="n">
        <v>45324</v>
      </c>
      <c r="B1129" s="23" t="n">
        <v>12.75</v>
      </c>
    </row>
    <row r="1130" customFormat="false" ht="15" hidden="false" customHeight="false" outlineLevel="0" collapsed="false">
      <c r="A1130" s="22" t="n">
        <v>45325</v>
      </c>
      <c r="B1130" s="23" t="n">
        <v>12.75</v>
      </c>
    </row>
    <row r="1131" customFormat="false" ht="15" hidden="false" customHeight="false" outlineLevel="0" collapsed="false">
      <c r="A1131" s="22" t="n">
        <v>45326</v>
      </c>
      <c r="B1131" s="23" t="n">
        <v>12.75</v>
      </c>
    </row>
    <row r="1132" customFormat="false" ht="15" hidden="false" customHeight="false" outlineLevel="0" collapsed="false">
      <c r="A1132" s="22" t="n">
        <v>45327</v>
      </c>
      <c r="B1132" s="23" t="n">
        <v>12.75</v>
      </c>
    </row>
    <row r="1133" customFormat="false" ht="15" hidden="false" customHeight="false" outlineLevel="0" collapsed="false">
      <c r="A1133" s="22" t="n">
        <v>45328</v>
      </c>
      <c r="B1133" s="23" t="n">
        <v>12.75</v>
      </c>
    </row>
    <row r="1134" customFormat="false" ht="15" hidden="false" customHeight="false" outlineLevel="0" collapsed="false">
      <c r="A1134" s="22" t="n">
        <v>45329</v>
      </c>
      <c r="B1134" s="23" t="n">
        <v>12.75</v>
      </c>
    </row>
    <row r="1135" customFormat="false" ht="15" hidden="false" customHeight="false" outlineLevel="0" collapsed="false">
      <c r="A1135" s="22" t="n">
        <v>45330</v>
      </c>
      <c r="B1135" s="23" t="n">
        <v>12.75</v>
      </c>
    </row>
    <row r="1136" customFormat="false" ht="15" hidden="false" customHeight="false" outlineLevel="0" collapsed="false">
      <c r="A1136" s="22" t="n">
        <v>45331</v>
      </c>
      <c r="B1136" s="23" t="n">
        <v>12.75</v>
      </c>
    </row>
    <row r="1137" customFormat="false" ht="15" hidden="false" customHeight="false" outlineLevel="0" collapsed="false">
      <c r="A1137" s="22" t="n">
        <v>45332</v>
      </c>
      <c r="B1137" s="23" t="n">
        <v>12.75</v>
      </c>
    </row>
    <row r="1138" customFormat="false" ht="15" hidden="false" customHeight="false" outlineLevel="0" collapsed="false">
      <c r="A1138" s="22" t="n">
        <v>45333</v>
      </c>
      <c r="B1138" s="23" t="n">
        <v>12.75</v>
      </c>
    </row>
    <row r="1139" customFormat="false" ht="15" hidden="false" customHeight="false" outlineLevel="0" collapsed="false">
      <c r="A1139" s="22" t="n">
        <v>45334</v>
      </c>
      <c r="B1139" s="23" t="n">
        <v>12.75</v>
      </c>
    </row>
    <row r="1140" customFormat="false" ht="15" hidden="false" customHeight="false" outlineLevel="0" collapsed="false">
      <c r="A1140" s="22" t="n">
        <v>45335</v>
      </c>
      <c r="B1140" s="23" t="n">
        <v>12.75</v>
      </c>
    </row>
    <row r="1141" customFormat="false" ht="15" hidden="false" customHeight="false" outlineLevel="0" collapsed="false">
      <c r="A1141" s="22" t="n">
        <v>45336</v>
      </c>
      <c r="B1141" s="23" t="n">
        <v>12.75</v>
      </c>
    </row>
    <row r="1142" customFormat="false" ht="15" hidden="false" customHeight="false" outlineLevel="0" collapsed="false">
      <c r="A1142" s="22" t="n">
        <v>45337</v>
      </c>
      <c r="B1142" s="23" t="n">
        <v>12.75</v>
      </c>
    </row>
    <row r="1143" customFormat="false" ht="15" hidden="false" customHeight="false" outlineLevel="0" collapsed="false">
      <c r="A1143" s="22" t="n">
        <v>45338</v>
      </c>
      <c r="B1143" s="23" t="n">
        <v>12.75</v>
      </c>
    </row>
    <row r="1144" customFormat="false" ht="15" hidden="false" customHeight="false" outlineLevel="0" collapsed="false">
      <c r="A1144" s="22" t="n">
        <v>45339</v>
      </c>
      <c r="B1144" s="23" t="n">
        <v>12.75</v>
      </c>
    </row>
    <row r="1145" customFormat="false" ht="15" hidden="false" customHeight="false" outlineLevel="0" collapsed="false">
      <c r="A1145" s="22" t="n">
        <v>45340</v>
      </c>
      <c r="B1145" s="23" t="n">
        <v>12.75</v>
      </c>
    </row>
    <row r="1146" customFormat="false" ht="15" hidden="false" customHeight="false" outlineLevel="0" collapsed="false">
      <c r="A1146" s="22" t="n">
        <v>45341</v>
      </c>
      <c r="B1146" s="23" t="n">
        <v>12.75</v>
      </c>
    </row>
    <row r="1147" customFormat="false" ht="15" hidden="false" customHeight="false" outlineLevel="0" collapsed="false">
      <c r="A1147" s="22" t="n">
        <v>45342</v>
      </c>
      <c r="B1147" s="23" t="n">
        <v>12.75</v>
      </c>
    </row>
    <row r="1148" customFormat="false" ht="15" hidden="false" customHeight="false" outlineLevel="0" collapsed="false">
      <c r="A1148" s="22" t="n">
        <v>45343</v>
      </c>
      <c r="B1148" s="23" t="n">
        <v>12.75</v>
      </c>
    </row>
    <row r="1149" customFormat="false" ht="15" hidden="false" customHeight="false" outlineLevel="0" collapsed="false">
      <c r="A1149" s="22" t="n">
        <v>45344</v>
      </c>
      <c r="B1149" s="23" t="n">
        <v>12.75</v>
      </c>
    </row>
    <row r="1150" customFormat="false" ht="15" hidden="false" customHeight="false" outlineLevel="0" collapsed="false">
      <c r="A1150" s="22" t="n">
        <v>45345</v>
      </c>
      <c r="B1150" s="23" t="n">
        <v>12.75</v>
      </c>
    </row>
    <row r="1151" customFormat="false" ht="15" hidden="false" customHeight="false" outlineLevel="0" collapsed="false">
      <c r="A1151" s="22" t="n">
        <v>45346</v>
      </c>
      <c r="B1151" s="23" t="n">
        <v>12.75</v>
      </c>
    </row>
    <row r="1152" customFormat="false" ht="15" hidden="false" customHeight="false" outlineLevel="0" collapsed="false">
      <c r="A1152" s="22" t="n">
        <v>45347</v>
      </c>
      <c r="B1152" s="23" t="n">
        <v>12.75</v>
      </c>
    </row>
    <row r="1153" customFormat="false" ht="15" hidden="false" customHeight="false" outlineLevel="0" collapsed="false">
      <c r="A1153" s="22" t="n">
        <v>45348</v>
      </c>
      <c r="B1153" s="23" t="n">
        <v>12.75</v>
      </c>
    </row>
    <row r="1154" customFormat="false" ht="15" hidden="false" customHeight="false" outlineLevel="0" collapsed="false">
      <c r="A1154" s="22" t="n">
        <v>45349</v>
      </c>
      <c r="B1154" s="23" t="n">
        <v>12.75</v>
      </c>
    </row>
    <row r="1155" customFormat="false" ht="15" hidden="false" customHeight="false" outlineLevel="0" collapsed="false">
      <c r="A1155" s="22" t="n">
        <v>45350</v>
      </c>
      <c r="B1155" s="23" t="n">
        <v>12.75</v>
      </c>
    </row>
    <row r="1156" customFormat="false" ht="15" hidden="false" customHeight="false" outlineLevel="0" collapsed="false">
      <c r="A1156" s="22" t="n">
        <v>45351</v>
      </c>
      <c r="B1156" s="23" t="n">
        <v>12.75</v>
      </c>
    </row>
    <row r="1157" customFormat="false" ht="15" hidden="false" customHeight="false" outlineLevel="0" collapsed="false">
      <c r="A1157" s="22" t="n">
        <v>45352</v>
      </c>
      <c r="B1157" s="23" t="n">
        <v>12.75</v>
      </c>
    </row>
    <row r="1158" customFormat="false" ht="15" hidden="false" customHeight="false" outlineLevel="0" collapsed="false">
      <c r="A1158" s="22" t="n">
        <v>45353</v>
      </c>
      <c r="B1158" s="23" t="n">
        <v>12.75</v>
      </c>
    </row>
    <row r="1159" customFormat="false" ht="15" hidden="false" customHeight="false" outlineLevel="0" collapsed="false">
      <c r="A1159" s="22" t="n">
        <v>45354</v>
      </c>
      <c r="B1159" s="23" t="n">
        <v>12.75</v>
      </c>
    </row>
    <row r="1160" customFormat="false" ht="15" hidden="false" customHeight="false" outlineLevel="0" collapsed="false">
      <c r="A1160" s="22" t="n">
        <v>45355</v>
      </c>
      <c r="B1160" s="23" t="n">
        <v>12.75</v>
      </c>
    </row>
    <row r="1161" customFormat="false" ht="15" hidden="false" customHeight="false" outlineLevel="0" collapsed="false">
      <c r="A1161" s="22" t="n">
        <v>45356</v>
      </c>
      <c r="B1161" s="23" t="n">
        <v>12.75</v>
      </c>
    </row>
    <row r="1162" customFormat="false" ht="15" hidden="false" customHeight="false" outlineLevel="0" collapsed="false">
      <c r="A1162" s="22" t="n">
        <v>45357</v>
      </c>
      <c r="B1162" s="23" t="n">
        <v>12.75</v>
      </c>
    </row>
    <row r="1163" customFormat="false" ht="15" hidden="false" customHeight="false" outlineLevel="0" collapsed="false">
      <c r="A1163" s="22" t="n">
        <v>45358</v>
      </c>
      <c r="B1163" s="23" t="n">
        <v>12.75</v>
      </c>
    </row>
    <row r="1164" customFormat="false" ht="15" hidden="false" customHeight="false" outlineLevel="0" collapsed="false">
      <c r="A1164" s="22" t="n">
        <v>45359</v>
      </c>
      <c r="B1164" s="23" t="n">
        <v>12.75</v>
      </c>
    </row>
    <row r="1165" customFormat="false" ht="15" hidden="false" customHeight="false" outlineLevel="0" collapsed="false">
      <c r="A1165" s="22" t="n">
        <v>45360</v>
      </c>
      <c r="B1165" s="23" t="n">
        <v>12.75</v>
      </c>
    </row>
    <row r="1166" customFormat="false" ht="15" hidden="false" customHeight="false" outlineLevel="0" collapsed="false">
      <c r="A1166" s="22" t="n">
        <v>45361</v>
      </c>
      <c r="B1166" s="23" t="n">
        <v>12.75</v>
      </c>
    </row>
    <row r="1167" customFormat="false" ht="15" hidden="false" customHeight="false" outlineLevel="0" collapsed="false">
      <c r="A1167" s="22" t="n">
        <v>45362</v>
      </c>
      <c r="B1167" s="23" t="n">
        <v>12.75</v>
      </c>
    </row>
    <row r="1168" customFormat="false" ht="15" hidden="false" customHeight="false" outlineLevel="0" collapsed="false">
      <c r="A1168" s="22" t="n">
        <v>45363</v>
      </c>
      <c r="B1168" s="23" t="n">
        <v>12.75</v>
      </c>
    </row>
    <row r="1169" customFormat="false" ht="15" hidden="false" customHeight="false" outlineLevel="0" collapsed="false">
      <c r="A1169" s="22" t="n">
        <v>45364</v>
      </c>
      <c r="B1169" s="23" t="n">
        <v>12.75</v>
      </c>
    </row>
    <row r="1170" customFormat="false" ht="15" hidden="false" customHeight="false" outlineLevel="0" collapsed="false">
      <c r="A1170" s="22" t="n">
        <v>45365</v>
      </c>
      <c r="B1170" s="23" t="n">
        <v>12.75</v>
      </c>
    </row>
    <row r="1171" customFormat="false" ht="15" hidden="false" customHeight="false" outlineLevel="0" collapsed="false">
      <c r="A1171" s="22" t="n">
        <v>45366</v>
      </c>
      <c r="B1171" s="23" t="n">
        <v>12.75</v>
      </c>
    </row>
    <row r="1172" customFormat="false" ht="15" hidden="false" customHeight="false" outlineLevel="0" collapsed="false">
      <c r="A1172" s="22" t="n">
        <v>45367</v>
      </c>
      <c r="B1172" s="23" t="n">
        <v>12.75</v>
      </c>
    </row>
    <row r="1173" customFormat="false" ht="15" hidden="false" customHeight="false" outlineLevel="0" collapsed="false">
      <c r="A1173" s="22" t="n">
        <v>45368</v>
      </c>
      <c r="B1173" s="23" t="n">
        <v>12.75</v>
      </c>
    </row>
    <row r="1174" customFormat="false" ht="15" hidden="false" customHeight="false" outlineLevel="0" collapsed="false">
      <c r="A1174" s="22" t="n">
        <v>45369</v>
      </c>
      <c r="B1174" s="23" t="n">
        <v>12.75</v>
      </c>
    </row>
    <row r="1175" customFormat="false" ht="15" hidden="false" customHeight="false" outlineLevel="0" collapsed="false">
      <c r="A1175" s="22" t="n">
        <v>45370</v>
      </c>
      <c r="B1175" s="23" t="n">
        <v>12.75</v>
      </c>
    </row>
    <row r="1176" customFormat="false" ht="15" hidden="false" customHeight="false" outlineLevel="0" collapsed="false">
      <c r="A1176" s="22" t="n">
        <v>45371</v>
      </c>
      <c r="B1176" s="23" t="n">
        <v>12.75</v>
      </c>
    </row>
    <row r="1177" customFormat="false" ht="15" hidden="false" customHeight="false" outlineLevel="0" collapsed="false">
      <c r="A1177" s="22" t="n">
        <v>45372</v>
      </c>
      <c r="B1177" s="23" t="n">
        <v>12.75</v>
      </c>
    </row>
    <row r="1178" customFormat="false" ht="15" hidden="false" customHeight="false" outlineLevel="0" collapsed="false">
      <c r="A1178" s="22" t="n">
        <v>45373</v>
      </c>
      <c r="B1178" s="23" t="n">
        <v>12.75</v>
      </c>
    </row>
    <row r="1179" customFormat="false" ht="15" hidden="false" customHeight="false" outlineLevel="0" collapsed="false">
      <c r="A1179" s="22" t="n">
        <v>45374</v>
      </c>
      <c r="B1179" s="23" t="n">
        <v>12.75</v>
      </c>
    </row>
    <row r="1180" customFormat="false" ht="15" hidden="false" customHeight="false" outlineLevel="0" collapsed="false">
      <c r="A1180" s="22" t="n">
        <v>45375</v>
      </c>
      <c r="B1180" s="23" t="n">
        <v>12.75</v>
      </c>
    </row>
    <row r="1181" customFormat="false" ht="15" hidden="false" customHeight="false" outlineLevel="0" collapsed="false">
      <c r="A1181" s="22" t="n">
        <v>45376</v>
      </c>
      <c r="B1181" s="23" t="n">
        <v>12.75</v>
      </c>
    </row>
    <row r="1182" customFormat="false" ht="15" hidden="false" customHeight="false" outlineLevel="0" collapsed="false">
      <c r="A1182" s="22" t="n">
        <v>45377</v>
      </c>
      <c r="B1182" s="23" t="n">
        <v>12.25</v>
      </c>
    </row>
    <row r="1183" customFormat="false" ht="15" hidden="false" customHeight="false" outlineLevel="0" collapsed="false">
      <c r="A1183" s="22" t="n">
        <v>45378</v>
      </c>
      <c r="B1183" s="23" t="n">
        <v>12.25</v>
      </c>
    </row>
    <row r="1184" customFormat="false" ht="15" hidden="false" customHeight="false" outlineLevel="0" collapsed="false">
      <c r="A1184" s="22" t="n">
        <v>45379</v>
      </c>
      <c r="B1184" s="23" t="n">
        <v>12.25</v>
      </c>
    </row>
    <row r="1185" customFormat="false" ht="15" hidden="false" customHeight="false" outlineLevel="0" collapsed="false">
      <c r="A1185" s="22" t="n">
        <v>45380</v>
      </c>
      <c r="B1185" s="23" t="n">
        <v>12.25</v>
      </c>
    </row>
    <row r="1186" customFormat="false" ht="15" hidden="false" customHeight="false" outlineLevel="0" collapsed="false">
      <c r="A1186" s="22" t="n">
        <v>45381</v>
      </c>
      <c r="B1186" s="23" t="n">
        <v>12.25</v>
      </c>
    </row>
    <row r="1187" customFormat="false" ht="15" hidden="false" customHeight="false" outlineLevel="0" collapsed="false">
      <c r="A1187" s="22" t="n">
        <v>45382</v>
      </c>
      <c r="B1187" s="23" t="n">
        <v>12.25</v>
      </c>
    </row>
    <row r="1188" customFormat="false" ht="15" hidden="false" customHeight="false" outlineLevel="0" collapsed="false">
      <c r="A1188" s="22" t="n">
        <v>45383</v>
      </c>
      <c r="B1188" s="23" t="n">
        <v>12.25</v>
      </c>
    </row>
    <row r="1189" customFormat="false" ht="15" hidden="false" customHeight="false" outlineLevel="0" collapsed="false">
      <c r="A1189" s="22" t="n">
        <v>45384</v>
      </c>
      <c r="B1189" s="23" t="n">
        <v>12.25</v>
      </c>
    </row>
    <row r="1190" customFormat="false" ht="15" hidden="false" customHeight="false" outlineLevel="0" collapsed="false">
      <c r="A1190" s="22" t="n">
        <v>45385</v>
      </c>
      <c r="B1190" s="23" t="n">
        <v>12.25</v>
      </c>
    </row>
    <row r="1191" customFormat="false" ht="15" hidden="false" customHeight="false" outlineLevel="0" collapsed="false">
      <c r="A1191" s="22" t="n">
        <v>45386</v>
      </c>
      <c r="B1191" s="23" t="n">
        <v>12.25</v>
      </c>
    </row>
    <row r="1192" customFormat="false" ht="15" hidden="false" customHeight="false" outlineLevel="0" collapsed="false">
      <c r="A1192" s="22" t="n">
        <v>45387</v>
      </c>
      <c r="B1192" s="23" t="n">
        <v>12.25</v>
      </c>
    </row>
    <row r="1193" customFormat="false" ht="15" hidden="false" customHeight="false" outlineLevel="0" collapsed="false">
      <c r="A1193" s="22" t="n">
        <v>45388</v>
      </c>
      <c r="B1193" s="23" t="n">
        <v>12.25</v>
      </c>
    </row>
    <row r="1194" customFormat="false" ht="15" hidden="false" customHeight="false" outlineLevel="0" collapsed="false">
      <c r="A1194" s="22" t="n">
        <v>45389</v>
      </c>
      <c r="B1194" s="23" t="n">
        <v>12.25</v>
      </c>
    </row>
    <row r="1195" customFormat="false" ht="15" hidden="false" customHeight="false" outlineLevel="0" collapsed="false">
      <c r="A1195" s="22" t="n">
        <v>45390</v>
      </c>
      <c r="B1195" s="23" t="n">
        <v>12.25</v>
      </c>
    </row>
    <row r="1196" customFormat="false" ht="15" hidden="false" customHeight="false" outlineLevel="0" collapsed="false">
      <c r="A1196" s="22" t="n">
        <v>45391</v>
      </c>
      <c r="B1196" s="23" t="n">
        <v>12.25</v>
      </c>
    </row>
    <row r="1197" customFormat="false" ht="15" hidden="false" customHeight="false" outlineLevel="0" collapsed="false">
      <c r="A1197" s="22" t="n">
        <v>45392</v>
      </c>
      <c r="B1197" s="23" t="n">
        <v>12.25</v>
      </c>
    </row>
    <row r="1198" customFormat="false" ht="15" hidden="false" customHeight="false" outlineLevel="0" collapsed="false">
      <c r="A1198" s="22" t="n">
        <v>45393</v>
      </c>
      <c r="B1198" s="23" t="n">
        <v>12.25</v>
      </c>
    </row>
    <row r="1199" customFormat="false" ht="15" hidden="false" customHeight="false" outlineLevel="0" collapsed="false">
      <c r="A1199" s="22" t="n">
        <v>45394</v>
      </c>
      <c r="B1199" s="23" t="n">
        <v>12.25</v>
      </c>
    </row>
    <row r="1200" customFormat="false" ht="15" hidden="false" customHeight="false" outlineLevel="0" collapsed="false">
      <c r="A1200" s="22" t="n">
        <v>45395</v>
      </c>
      <c r="B1200" s="23" t="n">
        <v>12.25</v>
      </c>
    </row>
    <row r="1201" customFormat="false" ht="15" hidden="false" customHeight="false" outlineLevel="0" collapsed="false">
      <c r="A1201" s="22" t="n">
        <v>45396</v>
      </c>
      <c r="B1201" s="23" t="n">
        <v>12.25</v>
      </c>
    </row>
    <row r="1202" customFormat="false" ht="15" hidden="false" customHeight="false" outlineLevel="0" collapsed="false">
      <c r="A1202" s="22" t="n">
        <v>45397</v>
      </c>
      <c r="B1202" s="23" t="n">
        <v>12.25</v>
      </c>
    </row>
    <row r="1203" customFormat="false" ht="15" hidden="false" customHeight="false" outlineLevel="0" collapsed="false">
      <c r="A1203" s="22" t="n">
        <v>45398</v>
      </c>
      <c r="B1203" s="23" t="n">
        <v>12.25</v>
      </c>
    </row>
    <row r="1204" customFormat="false" ht="15" hidden="false" customHeight="false" outlineLevel="0" collapsed="false">
      <c r="A1204" s="22" t="n">
        <v>45399</v>
      </c>
      <c r="B1204" s="23" t="n">
        <v>12.25</v>
      </c>
    </row>
    <row r="1205" customFormat="false" ht="15" hidden="false" customHeight="false" outlineLevel="0" collapsed="false">
      <c r="A1205" s="22" t="n">
        <v>45400</v>
      </c>
      <c r="B1205" s="23" t="n">
        <v>12.25</v>
      </c>
    </row>
    <row r="1206" customFormat="false" ht="15" hidden="false" customHeight="false" outlineLevel="0" collapsed="false">
      <c r="A1206" s="22" t="n">
        <v>45401</v>
      </c>
      <c r="B1206" s="23" t="n">
        <v>12.25</v>
      </c>
    </row>
    <row r="1207" customFormat="false" ht="15" hidden="false" customHeight="false" outlineLevel="0" collapsed="false">
      <c r="A1207" s="22" t="n">
        <v>45402</v>
      </c>
      <c r="B1207" s="23" t="n">
        <v>12.25</v>
      </c>
    </row>
    <row r="1208" customFormat="false" ht="15" hidden="false" customHeight="false" outlineLevel="0" collapsed="false">
      <c r="A1208" s="22" t="n">
        <v>45403</v>
      </c>
      <c r="B1208" s="23" t="n">
        <v>12.25</v>
      </c>
    </row>
    <row r="1209" customFormat="false" ht="15" hidden="false" customHeight="false" outlineLevel="0" collapsed="false">
      <c r="A1209" s="22" t="n">
        <v>45404</v>
      </c>
      <c r="B1209" s="23" t="n">
        <v>12.25</v>
      </c>
    </row>
    <row r="1210" customFormat="false" ht="15" hidden="false" customHeight="false" outlineLevel="0" collapsed="false">
      <c r="A1210" s="22" t="n">
        <v>45405</v>
      </c>
      <c r="B1210" s="23" t="n">
        <v>12.25</v>
      </c>
    </row>
    <row r="1211" customFormat="false" ht="15" hidden="false" customHeight="false" outlineLevel="0" collapsed="false">
      <c r="A1211" s="22" t="n">
        <v>45406</v>
      </c>
      <c r="B1211" s="23" t="n">
        <v>12.25</v>
      </c>
    </row>
    <row r="1212" customFormat="false" ht="15" hidden="false" customHeight="false" outlineLevel="0" collapsed="false">
      <c r="A1212" s="22" t="n">
        <v>45407</v>
      </c>
      <c r="B1212" s="23" t="n">
        <v>12.25</v>
      </c>
    </row>
    <row r="1213" customFormat="false" ht="15" hidden="false" customHeight="false" outlineLevel="0" collapsed="false">
      <c r="A1213" s="22" t="n">
        <v>45408</v>
      </c>
      <c r="B1213" s="23" t="n">
        <v>12.25</v>
      </c>
    </row>
    <row r="1214" customFormat="false" ht="15" hidden="false" customHeight="false" outlineLevel="0" collapsed="false">
      <c r="A1214" s="22" t="n">
        <v>45409</v>
      </c>
      <c r="B1214" s="23" t="n">
        <v>12.25</v>
      </c>
    </row>
    <row r="1215" customFormat="false" ht="15" hidden="false" customHeight="false" outlineLevel="0" collapsed="false">
      <c r="A1215" s="22" t="n">
        <v>45410</v>
      </c>
      <c r="B1215" s="23" t="n">
        <v>12.25</v>
      </c>
    </row>
    <row r="1216" customFormat="false" ht="15" hidden="false" customHeight="false" outlineLevel="0" collapsed="false">
      <c r="A1216" s="22" t="n">
        <v>45411</v>
      </c>
      <c r="B1216" s="23" t="n">
        <v>12.25</v>
      </c>
    </row>
    <row r="1217" customFormat="false" ht="15" hidden="false" customHeight="false" outlineLevel="0" collapsed="false">
      <c r="A1217" s="22" t="n">
        <v>45412</v>
      </c>
      <c r="B1217" s="23" t="n">
        <v>12.25</v>
      </c>
    </row>
    <row r="1218" customFormat="false" ht="15" hidden="false" customHeight="false" outlineLevel="0" collapsed="false">
      <c r="A1218" s="22" t="n">
        <v>45413</v>
      </c>
      <c r="B1218" s="23" t="n">
        <v>12.25</v>
      </c>
    </row>
    <row r="1219" customFormat="false" ht="15" hidden="false" customHeight="false" outlineLevel="0" collapsed="false">
      <c r="A1219" s="22" t="n">
        <v>45414</v>
      </c>
      <c r="B1219" s="23" t="n">
        <v>11.75</v>
      </c>
    </row>
    <row r="1220" customFormat="false" ht="15" hidden="false" customHeight="false" outlineLevel="0" collapsed="false">
      <c r="A1220" s="22" t="n">
        <v>45415</v>
      </c>
      <c r="B1220" s="23" t="n">
        <v>11.75</v>
      </c>
    </row>
    <row r="1221" customFormat="false" ht="15" hidden="false" customHeight="false" outlineLevel="0" collapsed="false">
      <c r="A1221" s="22" t="n">
        <v>45416</v>
      </c>
      <c r="B1221" s="23" t="n">
        <v>11.75</v>
      </c>
    </row>
    <row r="1222" customFormat="false" ht="15" hidden="false" customHeight="false" outlineLevel="0" collapsed="false">
      <c r="A1222" s="22" t="n">
        <v>45417</v>
      </c>
      <c r="B1222" s="23" t="n">
        <v>11.75</v>
      </c>
    </row>
    <row r="1223" customFormat="false" ht="15" hidden="false" customHeight="false" outlineLevel="0" collapsed="false">
      <c r="A1223" s="22" t="n">
        <v>45418</v>
      </c>
      <c r="B1223" s="23" t="n">
        <v>11.75</v>
      </c>
    </row>
    <row r="1224" customFormat="false" ht="15" hidden="false" customHeight="false" outlineLevel="0" collapsed="false">
      <c r="A1224" s="22" t="n">
        <v>45419</v>
      </c>
      <c r="B1224" s="23" t="n">
        <v>11.75</v>
      </c>
    </row>
    <row r="1225" customFormat="false" ht="15" hidden="false" customHeight="false" outlineLevel="0" collapsed="false">
      <c r="A1225" s="22" t="n">
        <v>45420</v>
      </c>
      <c r="B1225" s="23" t="n">
        <v>11.75</v>
      </c>
    </row>
    <row r="1226" customFormat="false" ht="15" hidden="false" customHeight="false" outlineLevel="0" collapsed="false">
      <c r="A1226" s="22" t="n">
        <v>45421</v>
      </c>
      <c r="B1226" s="23" t="n">
        <v>11.75</v>
      </c>
    </row>
    <row r="1227" customFormat="false" ht="15" hidden="false" customHeight="false" outlineLevel="0" collapsed="false">
      <c r="A1227" s="22" t="n">
        <v>45422</v>
      </c>
      <c r="B1227" s="23" t="n">
        <v>11.75</v>
      </c>
    </row>
    <row r="1228" customFormat="false" ht="15" hidden="false" customHeight="false" outlineLevel="0" collapsed="false">
      <c r="A1228" s="22" t="n">
        <v>45423</v>
      </c>
      <c r="B1228" s="23" t="n">
        <v>11.75</v>
      </c>
    </row>
    <row r="1229" customFormat="false" ht="15" hidden="false" customHeight="false" outlineLevel="0" collapsed="false">
      <c r="A1229" s="22" t="n">
        <v>45424</v>
      </c>
      <c r="B1229" s="23" t="n">
        <v>11.75</v>
      </c>
    </row>
    <row r="1230" customFormat="false" ht="15" hidden="false" customHeight="false" outlineLevel="0" collapsed="false">
      <c r="A1230" s="22" t="n">
        <v>45425</v>
      </c>
      <c r="B1230" s="23" t="n">
        <v>11.75</v>
      </c>
    </row>
    <row r="1231" customFormat="false" ht="15" hidden="false" customHeight="false" outlineLevel="0" collapsed="false">
      <c r="A1231" s="22" t="n">
        <v>45426</v>
      </c>
      <c r="B1231" s="23" t="n">
        <v>11.75</v>
      </c>
    </row>
    <row r="1232" customFormat="false" ht="15" hidden="false" customHeight="false" outlineLevel="0" collapsed="false">
      <c r="A1232" s="22" t="n">
        <v>45427</v>
      </c>
      <c r="B1232" s="23" t="n">
        <v>11.75</v>
      </c>
    </row>
    <row r="1233" customFormat="false" ht="15" hidden="false" customHeight="false" outlineLevel="0" collapsed="false">
      <c r="A1233" s="22" t="n">
        <v>45428</v>
      </c>
      <c r="B1233" s="23" t="n">
        <v>11.75</v>
      </c>
    </row>
    <row r="1234" customFormat="false" ht="15" hidden="false" customHeight="false" outlineLevel="0" collapsed="false">
      <c r="A1234" s="22" t="n">
        <v>45429</v>
      </c>
      <c r="B1234" s="23" t="n">
        <v>11.75</v>
      </c>
    </row>
    <row r="1235" customFormat="false" ht="15" hidden="false" customHeight="false" outlineLevel="0" collapsed="false">
      <c r="A1235" s="22" t="n">
        <v>45430</v>
      </c>
      <c r="B1235" s="23" t="n">
        <v>11.75</v>
      </c>
    </row>
    <row r="1236" customFormat="false" ht="15" hidden="false" customHeight="false" outlineLevel="0" collapsed="false">
      <c r="A1236" s="22" t="n">
        <v>45431</v>
      </c>
      <c r="B1236" s="23" t="n">
        <v>11.75</v>
      </c>
    </row>
    <row r="1237" customFormat="false" ht="15" hidden="false" customHeight="false" outlineLevel="0" collapsed="false">
      <c r="A1237" s="22" t="n">
        <v>45432</v>
      </c>
      <c r="B1237" s="23" t="n">
        <v>11.75</v>
      </c>
    </row>
    <row r="1238" customFormat="false" ht="15" hidden="false" customHeight="false" outlineLevel="0" collapsed="false">
      <c r="A1238" s="22" t="n">
        <v>45433</v>
      </c>
      <c r="B1238" s="23" t="n">
        <v>11.75</v>
      </c>
    </row>
    <row r="1239" customFormat="false" ht="15" hidden="false" customHeight="false" outlineLevel="0" collapsed="false">
      <c r="A1239" s="22" t="n">
        <v>45434</v>
      </c>
      <c r="B1239" s="23" t="n">
        <v>11.75</v>
      </c>
    </row>
    <row r="1240" customFormat="false" ht="15" hidden="false" customHeight="false" outlineLevel="0" collapsed="false">
      <c r="A1240" s="22" t="n">
        <v>45435</v>
      </c>
      <c r="B1240" s="23" t="n">
        <v>11.75</v>
      </c>
    </row>
    <row r="1241" customFormat="false" ht="15" hidden="false" customHeight="false" outlineLevel="0" collapsed="false">
      <c r="A1241" s="22" t="n">
        <v>45436</v>
      </c>
      <c r="B1241" s="23" t="n">
        <v>11.75</v>
      </c>
    </row>
    <row r="1242" customFormat="false" ht="15" hidden="false" customHeight="false" outlineLevel="0" collapsed="false">
      <c r="A1242" s="22" t="n">
        <v>45437</v>
      </c>
      <c r="B1242" s="23" t="n">
        <v>11.75</v>
      </c>
    </row>
    <row r="1243" customFormat="false" ht="15" hidden="false" customHeight="false" outlineLevel="0" collapsed="false">
      <c r="A1243" s="22" t="n">
        <v>45438</v>
      </c>
      <c r="B1243" s="23" t="n">
        <v>11.75</v>
      </c>
    </row>
    <row r="1244" customFormat="false" ht="15" hidden="false" customHeight="false" outlineLevel="0" collapsed="false">
      <c r="A1244" s="22" t="n">
        <v>45439</v>
      </c>
      <c r="B1244" s="23" t="n">
        <v>11.75</v>
      </c>
    </row>
    <row r="1245" customFormat="false" ht="15" hidden="false" customHeight="false" outlineLevel="0" collapsed="false">
      <c r="A1245" s="22" t="n">
        <v>45440</v>
      </c>
      <c r="B1245" s="23" t="n">
        <v>11.75</v>
      </c>
    </row>
    <row r="1246" customFormat="false" ht="15" hidden="false" customHeight="false" outlineLevel="0" collapsed="false">
      <c r="A1246" s="22" t="n">
        <v>45441</v>
      </c>
      <c r="B1246" s="23" t="n">
        <v>11.75</v>
      </c>
    </row>
    <row r="1247" customFormat="false" ht="15" hidden="false" customHeight="false" outlineLevel="0" collapsed="false">
      <c r="A1247" s="22" t="n">
        <v>45442</v>
      </c>
      <c r="B1247" s="23" t="n">
        <v>11.75</v>
      </c>
    </row>
    <row r="1248" customFormat="false" ht="15" hidden="false" customHeight="false" outlineLevel="0" collapsed="false">
      <c r="A1248" s="22" t="n">
        <v>45443</v>
      </c>
      <c r="B1248" s="23" t="n">
        <v>11.75</v>
      </c>
    </row>
    <row r="1249" customFormat="false" ht="15" hidden="false" customHeight="false" outlineLevel="0" collapsed="false">
      <c r="A1249" s="22" t="n">
        <v>45444</v>
      </c>
      <c r="B1249" s="23" t="n">
        <v>11.75</v>
      </c>
    </row>
    <row r="1250" customFormat="false" ht="15" hidden="false" customHeight="false" outlineLevel="0" collapsed="false">
      <c r="A1250" s="22" t="n">
        <v>45445</v>
      </c>
      <c r="B1250" s="23" t="n">
        <v>11.75</v>
      </c>
    </row>
    <row r="1251" customFormat="false" ht="15" hidden="false" customHeight="false" outlineLevel="0" collapsed="false">
      <c r="A1251" s="22" t="n">
        <v>45446</v>
      </c>
      <c r="B1251" s="23" t="n">
        <v>11.75</v>
      </c>
    </row>
    <row r="1252" customFormat="false" ht="15" hidden="false" customHeight="false" outlineLevel="0" collapsed="false">
      <c r="A1252" s="22" t="n">
        <v>45447</v>
      </c>
      <c r="B1252" s="23" t="n">
        <v>11.75</v>
      </c>
    </row>
    <row r="1253" customFormat="false" ht="15" hidden="false" customHeight="false" outlineLevel="0" collapsed="false">
      <c r="A1253" s="22" t="n">
        <v>45448</v>
      </c>
      <c r="B1253" s="23" t="n">
        <v>11.75</v>
      </c>
    </row>
    <row r="1254" customFormat="false" ht="15" hidden="false" customHeight="false" outlineLevel="0" collapsed="false">
      <c r="A1254" s="22" t="n">
        <v>45449</v>
      </c>
      <c r="B1254" s="23" t="n">
        <v>11.75</v>
      </c>
    </row>
    <row r="1255" customFormat="false" ht="15" hidden="false" customHeight="false" outlineLevel="0" collapsed="false">
      <c r="A1255" s="22" t="n">
        <v>45450</v>
      </c>
      <c r="B1255" s="23" t="n">
        <v>11.75</v>
      </c>
    </row>
    <row r="1256" customFormat="false" ht="15" hidden="false" customHeight="false" outlineLevel="0" collapsed="false">
      <c r="A1256" s="22" t="n">
        <v>45451</v>
      </c>
      <c r="B1256" s="23" t="n">
        <v>11.75</v>
      </c>
    </row>
    <row r="1257" customFormat="false" ht="15" hidden="false" customHeight="false" outlineLevel="0" collapsed="false">
      <c r="A1257" s="22" t="n">
        <v>45452</v>
      </c>
      <c r="B1257" s="23" t="n">
        <v>11.75</v>
      </c>
    </row>
    <row r="1258" customFormat="false" ht="15" hidden="false" customHeight="false" outlineLevel="0" collapsed="false">
      <c r="A1258" s="22" t="n">
        <v>45453</v>
      </c>
      <c r="B1258" s="23" t="n">
        <v>11.75</v>
      </c>
    </row>
    <row r="1259" customFormat="false" ht="15" hidden="false" customHeight="false" outlineLevel="0" collapsed="false">
      <c r="A1259" s="22" t="n">
        <v>45454</v>
      </c>
      <c r="B1259" s="23" t="n">
        <v>11.75</v>
      </c>
    </row>
    <row r="1260" customFormat="false" ht="15" hidden="false" customHeight="false" outlineLevel="0" collapsed="false">
      <c r="A1260" s="22" t="n">
        <v>45455</v>
      </c>
      <c r="B1260" s="23" t="n">
        <v>11.75</v>
      </c>
    </row>
    <row r="1261" customFormat="false" ht="15" hidden="false" customHeight="false" outlineLevel="0" collapsed="false">
      <c r="A1261" s="22" t="n">
        <v>45456</v>
      </c>
      <c r="B1261" s="23" t="n">
        <v>11.75</v>
      </c>
    </row>
    <row r="1262" customFormat="false" ht="15" hidden="false" customHeight="false" outlineLevel="0" collapsed="false">
      <c r="A1262" s="22" t="n">
        <v>45457</v>
      </c>
      <c r="B1262" s="23" t="n">
        <v>11.75</v>
      </c>
    </row>
    <row r="1263" customFormat="false" ht="15" hidden="false" customHeight="false" outlineLevel="0" collapsed="false">
      <c r="A1263" s="22" t="n">
        <v>45458</v>
      </c>
      <c r="B1263" s="23" t="n">
        <v>11.75</v>
      </c>
    </row>
    <row r="1264" customFormat="false" ht="15" hidden="false" customHeight="false" outlineLevel="0" collapsed="false">
      <c r="A1264" s="22" t="n">
        <v>45459</v>
      </c>
      <c r="B1264" s="23" t="n">
        <v>11.75</v>
      </c>
    </row>
    <row r="1265" customFormat="false" ht="15" hidden="false" customHeight="false" outlineLevel="0" collapsed="false">
      <c r="A1265" s="22" t="n">
        <v>45460</v>
      </c>
      <c r="B1265" s="23" t="n">
        <v>11.75</v>
      </c>
    </row>
    <row r="1266" customFormat="false" ht="15" hidden="false" customHeight="false" outlineLevel="0" collapsed="false">
      <c r="A1266" s="22" t="n">
        <v>45461</v>
      </c>
      <c r="B1266" s="23" t="n">
        <v>11.75</v>
      </c>
    </row>
    <row r="1267" customFormat="false" ht="15" hidden="false" customHeight="false" outlineLevel="0" collapsed="false">
      <c r="A1267" s="22" t="n">
        <v>45462</v>
      </c>
      <c r="B1267" s="23" t="n">
        <v>11.75</v>
      </c>
    </row>
    <row r="1268" customFormat="false" ht="15" hidden="false" customHeight="false" outlineLevel="0" collapsed="false">
      <c r="A1268" s="22" t="n">
        <v>45463</v>
      </c>
      <c r="B1268" s="23" t="n">
        <v>11.75</v>
      </c>
    </row>
    <row r="1269" customFormat="false" ht="15" hidden="false" customHeight="false" outlineLevel="0" collapsed="false">
      <c r="A1269" s="22" t="n">
        <v>45464</v>
      </c>
      <c r="B1269" s="23" t="n">
        <v>11.75</v>
      </c>
    </row>
    <row r="1270" customFormat="false" ht="15" hidden="false" customHeight="false" outlineLevel="0" collapsed="false">
      <c r="A1270" s="22" t="n">
        <v>45465</v>
      </c>
      <c r="B1270" s="23" t="n">
        <v>11.75</v>
      </c>
    </row>
    <row r="1271" customFormat="false" ht="15" hidden="false" customHeight="false" outlineLevel="0" collapsed="false">
      <c r="A1271" s="22" t="n">
        <v>45466</v>
      </c>
      <c r="B1271" s="23" t="n">
        <v>11.75</v>
      </c>
    </row>
    <row r="1272" customFormat="false" ht="15" hidden="false" customHeight="false" outlineLevel="0" collapsed="false">
      <c r="A1272" s="22" t="n">
        <v>45467</v>
      </c>
      <c r="B1272" s="23" t="n">
        <v>11.75</v>
      </c>
    </row>
    <row r="1273" customFormat="false" ht="15" hidden="false" customHeight="false" outlineLevel="0" collapsed="false">
      <c r="A1273" s="22" t="n">
        <v>45468</v>
      </c>
      <c r="B1273" s="23" t="n">
        <v>11.75</v>
      </c>
    </row>
    <row r="1274" customFormat="false" ht="15" hidden="false" customHeight="false" outlineLevel="0" collapsed="false">
      <c r="A1274" s="22" t="n">
        <v>45469</v>
      </c>
      <c r="B1274" s="23" t="n">
        <v>11.75</v>
      </c>
    </row>
    <row r="1275" customFormat="false" ht="15" hidden="false" customHeight="false" outlineLevel="0" collapsed="false">
      <c r="A1275" s="22" t="n">
        <v>45470</v>
      </c>
      <c r="B1275" s="23" t="n">
        <v>11.75</v>
      </c>
    </row>
    <row r="1276" customFormat="false" ht="15" hidden="false" customHeight="false" outlineLevel="0" collapsed="false">
      <c r="A1276" s="22" t="n">
        <v>45471</v>
      </c>
      <c r="B1276" s="23" t="n">
        <v>11.75</v>
      </c>
    </row>
    <row r="1277" customFormat="false" ht="15" hidden="false" customHeight="false" outlineLevel="0" collapsed="false">
      <c r="A1277" s="22" t="n">
        <v>45472</v>
      </c>
      <c r="B1277" s="23" t="n">
        <v>11.75</v>
      </c>
    </row>
    <row r="1278" customFormat="false" ht="15" hidden="false" customHeight="false" outlineLevel="0" collapsed="false">
      <c r="A1278" s="22" t="n">
        <v>45473</v>
      </c>
      <c r="B1278" s="23" t="n">
        <v>11.75</v>
      </c>
    </row>
    <row r="1279" customFormat="false" ht="15" hidden="false" customHeight="false" outlineLevel="0" collapsed="false">
      <c r="A1279" s="22" t="n">
        <v>45474</v>
      </c>
      <c r="B1279" s="23" t="n">
        <v>11.75</v>
      </c>
    </row>
    <row r="1280" customFormat="false" ht="15" hidden="false" customHeight="false" outlineLevel="0" collapsed="false">
      <c r="A1280" s="22" t="n">
        <v>45475</v>
      </c>
      <c r="B1280" s="23" t="n">
        <v>11.25</v>
      </c>
    </row>
    <row r="1281" customFormat="false" ht="15" hidden="false" customHeight="false" outlineLevel="0" collapsed="false">
      <c r="A1281" s="22" t="n">
        <v>45476</v>
      </c>
      <c r="B1281" s="23" t="n">
        <v>11.25</v>
      </c>
    </row>
    <row r="1282" customFormat="false" ht="15" hidden="false" customHeight="false" outlineLevel="0" collapsed="false">
      <c r="A1282" s="22" t="n">
        <v>45477</v>
      </c>
      <c r="B1282" s="23" t="n">
        <v>11.25</v>
      </c>
    </row>
    <row r="1283" customFormat="false" ht="15" hidden="false" customHeight="false" outlineLevel="0" collapsed="false">
      <c r="A1283" s="22" t="n">
        <v>45478</v>
      </c>
      <c r="B1283" s="23" t="n">
        <v>11.25</v>
      </c>
    </row>
    <row r="1284" customFormat="false" ht="15" hidden="false" customHeight="false" outlineLevel="0" collapsed="false">
      <c r="A1284" s="22" t="n">
        <v>45479</v>
      </c>
      <c r="B1284" s="23" t="n">
        <v>11.25</v>
      </c>
    </row>
    <row r="1285" customFormat="false" ht="15" hidden="false" customHeight="false" outlineLevel="0" collapsed="false">
      <c r="A1285" s="22" t="n">
        <v>45480</v>
      </c>
      <c r="B1285" s="23" t="n">
        <v>11.25</v>
      </c>
    </row>
    <row r="1286" customFormat="false" ht="15" hidden="false" customHeight="false" outlineLevel="0" collapsed="false">
      <c r="A1286" s="22" t="n">
        <v>45481</v>
      </c>
      <c r="B1286" s="23" t="n">
        <v>11.25</v>
      </c>
    </row>
    <row r="1287" customFormat="false" ht="15" hidden="false" customHeight="false" outlineLevel="0" collapsed="false">
      <c r="A1287" s="22" t="n">
        <v>45482</v>
      </c>
      <c r="B1287" s="23" t="n">
        <v>11.25</v>
      </c>
    </row>
    <row r="1288" customFormat="false" ht="15" hidden="false" customHeight="false" outlineLevel="0" collapsed="false">
      <c r="A1288" s="22" t="n">
        <v>45483</v>
      </c>
      <c r="B1288" s="23" t="n">
        <v>11.25</v>
      </c>
    </row>
    <row r="1289" customFormat="false" ht="15" hidden="false" customHeight="false" outlineLevel="0" collapsed="false">
      <c r="A1289" s="22" t="n">
        <v>45484</v>
      </c>
      <c r="B1289" s="23" t="n">
        <v>11.25</v>
      </c>
    </row>
    <row r="1290" customFormat="false" ht="15" hidden="false" customHeight="false" outlineLevel="0" collapsed="false">
      <c r="A1290" s="22" t="n">
        <v>45485</v>
      </c>
      <c r="B1290" s="23" t="n">
        <v>11.25</v>
      </c>
    </row>
    <row r="1291" customFormat="false" ht="15" hidden="false" customHeight="false" outlineLevel="0" collapsed="false">
      <c r="A1291" s="22" t="n">
        <v>45486</v>
      </c>
      <c r="B1291" s="23" t="n">
        <v>11.25</v>
      </c>
    </row>
    <row r="1292" customFormat="false" ht="15" hidden="false" customHeight="false" outlineLevel="0" collapsed="false">
      <c r="A1292" s="22" t="n">
        <v>45487</v>
      </c>
      <c r="B1292" s="23" t="n">
        <v>11.25</v>
      </c>
    </row>
    <row r="1293" customFormat="false" ht="15" hidden="false" customHeight="false" outlineLevel="0" collapsed="false">
      <c r="A1293" s="22" t="n">
        <v>45488</v>
      </c>
      <c r="B1293" s="23" t="n">
        <v>11.25</v>
      </c>
    </row>
    <row r="1294" customFormat="false" ht="15" hidden="false" customHeight="false" outlineLevel="0" collapsed="false">
      <c r="A1294" s="22" t="n">
        <v>45489</v>
      </c>
      <c r="B1294" s="23" t="n">
        <v>11.25</v>
      </c>
    </row>
    <row r="1295" customFormat="false" ht="15" hidden="false" customHeight="false" outlineLevel="0" collapsed="false">
      <c r="A1295" s="22" t="n">
        <v>45490</v>
      </c>
      <c r="B1295" s="23" t="n">
        <v>11.25</v>
      </c>
    </row>
    <row r="1296" customFormat="false" ht="15" hidden="false" customHeight="false" outlineLevel="0" collapsed="false">
      <c r="A1296" s="22" t="n">
        <v>45491</v>
      </c>
      <c r="B1296" s="23" t="n">
        <v>11.25</v>
      </c>
    </row>
    <row r="1297" customFormat="false" ht="15" hidden="false" customHeight="false" outlineLevel="0" collapsed="false">
      <c r="A1297" s="22" t="n">
        <v>45492</v>
      </c>
      <c r="B1297" s="23" t="n">
        <v>11.25</v>
      </c>
    </row>
    <row r="1298" customFormat="false" ht="15" hidden="false" customHeight="false" outlineLevel="0" collapsed="false">
      <c r="A1298" s="22" t="n">
        <v>45493</v>
      </c>
      <c r="B1298" s="23" t="n">
        <v>11.25</v>
      </c>
    </row>
    <row r="1299" customFormat="false" ht="15" hidden="false" customHeight="false" outlineLevel="0" collapsed="false">
      <c r="A1299" s="22" t="n">
        <v>45494</v>
      </c>
      <c r="B1299" s="23" t="n">
        <v>11.25</v>
      </c>
    </row>
    <row r="1300" customFormat="false" ht="15" hidden="false" customHeight="false" outlineLevel="0" collapsed="false">
      <c r="A1300" s="22" t="n">
        <v>45495</v>
      </c>
      <c r="B1300" s="23" t="n">
        <v>11.25</v>
      </c>
    </row>
    <row r="1301" customFormat="false" ht="15" hidden="false" customHeight="false" outlineLevel="0" collapsed="false">
      <c r="A1301" s="22" t="n">
        <v>45496</v>
      </c>
      <c r="B1301" s="23" t="n">
        <v>11.25</v>
      </c>
    </row>
    <row r="1302" customFormat="false" ht="15" hidden="false" customHeight="false" outlineLevel="0" collapsed="false">
      <c r="A1302" s="22" t="n">
        <v>45497</v>
      </c>
      <c r="B1302" s="23" t="n">
        <v>11.25</v>
      </c>
    </row>
    <row r="1303" customFormat="false" ht="15" hidden="false" customHeight="false" outlineLevel="0" collapsed="false">
      <c r="A1303" s="22" t="n">
        <v>45498</v>
      </c>
      <c r="B1303" s="23" t="n">
        <v>11.25</v>
      </c>
    </row>
    <row r="1304" customFormat="false" ht="15" hidden="false" customHeight="false" outlineLevel="0" collapsed="false">
      <c r="A1304" s="22" t="n">
        <v>45499</v>
      </c>
      <c r="B1304" s="23" t="n">
        <v>11.25</v>
      </c>
    </row>
    <row r="1305" customFormat="false" ht="15" hidden="false" customHeight="false" outlineLevel="0" collapsed="false">
      <c r="A1305" s="22" t="n">
        <v>45500</v>
      </c>
      <c r="B1305" s="23" t="n">
        <v>11.25</v>
      </c>
    </row>
    <row r="1306" customFormat="false" ht="15" hidden="false" customHeight="false" outlineLevel="0" collapsed="false">
      <c r="A1306" s="22" t="n">
        <v>45501</v>
      </c>
      <c r="B1306" s="23" t="n">
        <v>11.25</v>
      </c>
    </row>
    <row r="1307" customFormat="false" ht="15" hidden="false" customHeight="false" outlineLevel="0" collapsed="false">
      <c r="A1307" s="22" t="n">
        <v>45502</v>
      </c>
      <c r="B1307" s="23" t="n">
        <v>11.25</v>
      </c>
    </row>
    <row r="1308" customFormat="false" ht="15" hidden="false" customHeight="false" outlineLevel="0" collapsed="false">
      <c r="A1308" s="22" t="n">
        <v>45503</v>
      </c>
      <c r="B1308" s="23" t="n">
        <v>11.25</v>
      </c>
    </row>
    <row r="1309" customFormat="false" ht="15" hidden="false" customHeight="false" outlineLevel="0" collapsed="false">
      <c r="A1309" s="22" t="n">
        <v>45504</v>
      </c>
      <c r="B1309" s="23" t="n">
        <v>11.25</v>
      </c>
    </row>
    <row r="1310" customFormat="false" ht="15" hidden="false" customHeight="false" outlineLevel="0" collapsed="false">
      <c r="A1310" s="22" t="n">
        <v>45505</v>
      </c>
      <c r="B1310" s="23" t="n">
        <v>10.75</v>
      </c>
    </row>
    <row r="1311" customFormat="false" ht="15" hidden="false" customHeight="false" outlineLevel="0" collapsed="false">
      <c r="A1311" s="22" t="n">
        <v>45506</v>
      </c>
      <c r="B1311" s="23" t="n">
        <v>10.75</v>
      </c>
    </row>
    <row r="1312" customFormat="false" ht="15" hidden="false" customHeight="false" outlineLevel="0" collapsed="false">
      <c r="A1312" s="22" t="n">
        <v>45507</v>
      </c>
      <c r="B1312" s="23" t="n">
        <v>10.75</v>
      </c>
    </row>
    <row r="1313" customFormat="false" ht="15" hidden="false" customHeight="false" outlineLevel="0" collapsed="false">
      <c r="A1313" s="22" t="n">
        <v>45508</v>
      </c>
      <c r="B1313" s="23" t="n">
        <v>10.75</v>
      </c>
    </row>
    <row r="1314" customFormat="false" ht="15" hidden="false" customHeight="false" outlineLevel="0" collapsed="false">
      <c r="A1314" s="22" t="n">
        <v>45509</v>
      </c>
      <c r="B1314" s="23" t="n">
        <v>10.75</v>
      </c>
    </row>
    <row r="1315" customFormat="false" ht="15" hidden="false" customHeight="false" outlineLevel="0" collapsed="false">
      <c r="A1315" s="22" t="n">
        <v>45510</v>
      </c>
      <c r="B1315" s="23" t="n">
        <v>10.75</v>
      </c>
    </row>
    <row r="1316" customFormat="false" ht="15" hidden="false" customHeight="false" outlineLevel="0" collapsed="false">
      <c r="A1316" s="22" t="n">
        <v>45511</v>
      </c>
      <c r="B1316" s="23" t="n">
        <v>10.75</v>
      </c>
    </row>
    <row r="1317" customFormat="false" ht="15" hidden="false" customHeight="false" outlineLevel="0" collapsed="false">
      <c r="A1317" s="22" t="n">
        <v>45512</v>
      </c>
      <c r="B1317" s="23" t="n">
        <v>10.75</v>
      </c>
    </row>
    <row r="1318" customFormat="false" ht="15" hidden="false" customHeight="false" outlineLevel="0" collapsed="false">
      <c r="A1318" s="22" t="n">
        <v>45513</v>
      </c>
      <c r="B1318" s="23" t="n">
        <v>10.75</v>
      </c>
    </row>
    <row r="1319" customFormat="false" ht="15" hidden="false" customHeight="false" outlineLevel="0" collapsed="false">
      <c r="A1319" s="22" t="n">
        <v>45514</v>
      </c>
      <c r="B1319" s="23" t="n">
        <v>10.75</v>
      </c>
    </row>
    <row r="1320" customFormat="false" ht="15" hidden="false" customHeight="false" outlineLevel="0" collapsed="false">
      <c r="A1320" s="22" t="n">
        <v>45515</v>
      </c>
      <c r="B1320" s="23" t="n">
        <v>10.75</v>
      </c>
    </row>
    <row r="1321" customFormat="false" ht="15" hidden="false" customHeight="false" outlineLevel="0" collapsed="false">
      <c r="A1321" s="22" t="n">
        <v>45516</v>
      </c>
      <c r="B1321" s="23" t="n">
        <v>10.75</v>
      </c>
    </row>
    <row r="1322" customFormat="false" ht="15" hidden="false" customHeight="false" outlineLevel="0" collapsed="false">
      <c r="A1322" s="22" t="n">
        <v>45517</v>
      </c>
      <c r="B1322" s="23" t="n">
        <v>10.75</v>
      </c>
    </row>
    <row r="1323" customFormat="false" ht="15" hidden="false" customHeight="false" outlineLevel="0" collapsed="false">
      <c r="A1323" s="22" t="n">
        <v>45518</v>
      </c>
      <c r="B1323" s="23" t="n">
        <v>10.75</v>
      </c>
    </row>
    <row r="1324" customFormat="false" ht="15" hidden="false" customHeight="false" outlineLevel="0" collapsed="false">
      <c r="A1324" s="22" t="n">
        <v>45519</v>
      </c>
      <c r="B1324" s="23" t="n">
        <v>10.75</v>
      </c>
    </row>
    <row r="1325" customFormat="false" ht="15" hidden="false" customHeight="false" outlineLevel="0" collapsed="false">
      <c r="A1325" s="22" t="n">
        <v>45520</v>
      </c>
      <c r="B1325" s="23" t="n">
        <v>10.75</v>
      </c>
    </row>
    <row r="1326" customFormat="false" ht="15" hidden="false" customHeight="false" outlineLevel="0" collapsed="false">
      <c r="A1326" s="22" t="n">
        <v>45521</v>
      </c>
      <c r="B1326" s="23" t="n">
        <v>10.75</v>
      </c>
    </row>
    <row r="1327" customFormat="false" ht="15" hidden="false" customHeight="false" outlineLevel="0" collapsed="false">
      <c r="A1327" s="22" t="n">
        <v>45522</v>
      </c>
      <c r="B1327" s="23" t="n">
        <v>10.75</v>
      </c>
    </row>
    <row r="1328" customFormat="false" ht="15" hidden="false" customHeight="false" outlineLevel="0" collapsed="false">
      <c r="A1328" s="22" t="n">
        <v>45523</v>
      </c>
      <c r="B1328" s="23" t="n">
        <v>10.75</v>
      </c>
    </row>
    <row r="1329" customFormat="false" ht="15" hidden="false" customHeight="false" outlineLevel="0" collapsed="false">
      <c r="A1329" s="22" t="n">
        <v>45524</v>
      </c>
      <c r="B1329" s="23" t="n">
        <v>10.75</v>
      </c>
    </row>
    <row r="1330" customFormat="false" ht="15" hidden="false" customHeight="false" outlineLevel="0" collapsed="false">
      <c r="A1330" s="22" t="n">
        <v>45525</v>
      </c>
      <c r="B1330" s="23" t="n">
        <v>10.75</v>
      </c>
    </row>
    <row r="1331" customFormat="false" ht="15" hidden="false" customHeight="false" outlineLevel="0" collapsed="false">
      <c r="A1331" s="22" t="n">
        <v>45526</v>
      </c>
      <c r="B1331" s="23" t="n">
        <v>10.75</v>
      </c>
    </row>
    <row r="1332" customFormat="false" ht="15" hidden="false" customHeight="false" outlineLevel="0" collapsed="false">
      <c r="A1332" s="22" t="n">
        <v>45527</v>
      </c>
      <c r="B1332" s="23" t="n">
        <v>10.75</v>
      </c>
    </row>
    <row r="1333" customFormat="false" ht="15" hidden="false" customHeight="false" outlineLevel="0" collapsed="false">
      <c r="A1333" s="22" t="n">
        <v>45528</v>
      </c>
      <c r="B1333" s="23" t="n">
        <v>10.75</v>
      </c>
    </row>
    <row r="1334" customFormat="false" ht="15" hidden="false" customHeight="false" outlineLevel="0" collapsed="false">
      <c r="A1334" s="22" t="n">
        <v>45529</v>
      </c>
      <c r="B1334" s="23" t="n">
        <v>10.75</v>
      </c>
    </row>
    <row r="1335" customFormat="false" ht="15" hidden="false" customHeight="false" outlineLevel="0" collapsed="false">
      <c r="A1335" s="22" t="n">
        <v>45530</v>
      </c>
      <c r="B1335" s="23" t="n">
        <v>10.75</v>
      </c>
    </row>
    <row r="1336" customFormat="false" ht="15" hidden="false" customHeight="false" outlineLevel="0" collapsed="false">
      <c r="A1336" s="22" t="n">
        <v>45531</v>
      </c>
      <c r="B1336" s="23" t="n">
        <v>10.75</v>
      </c>
    </row>
    <row r="1337" customFormat="false" ht="15" hidden="false" customHeight="false" outlineLevel="0" collapsed="false">
      <c r="A1337" s="22" t="n">
        <v>45532</v>
      </c>
      <c r="B1337" s="23" t="n">
        <v>10.75</v>
      </c>
    </row>
    <row r="1338" customFormat="false" ht="15" hidden="false" customHeight="false" outlineLevel="0" collapsed="false">
      <c r="A1338" s="22" t="n">
        <v>45533</v>
      </c>
      <c r="B1338" s="23" t="n">
        <v>10.75</v>
      </c>
    </row>
    <row r="1339" customFormat="false" ht="15" hidden="false" customHeight="false" outlineLevel="0" collapsed="false">
      <c r="A1339" s="22" t="n">
        <v>45534</v>
      </c>
      <c r="B1339" s="23" t="n">
        <v>10.75</v>
      </c>
    </row>
    <row r="1340" customFormat="false" ht="15" hidden="false" customHeight="false" outlineLevel="0" collapsed="false">
      <c r="A1340" s="22" t="n">
        <v>45535</v>
      </c>
      <c r="B1340" s="23" t="n">
        <v>10.75</v>
      </c>
    </row>
    <row r="1341" customFormat="false" ht="15" hidden="false" customHeight="false" outlineLevel="0" collapsed="false">
      <c r="A1341" s="22" t="n">
        <v>45536</v>
      </c>
      <c r="B1341" s="23" t="n">
        <v>10.75</v>
      </c>
    </row>
    <row r="1342" customFormat="false" ht="15" hidden="false" customHeight="false" outlineLevel="0" collapsed="false">
      <c r="A1342" s="22" t="n">
        <v>45537</v>
      </c>
      <c r="B1342" s="23" t="n">
        <v>10.75</v>
      </c>
    </row>
    <row r="1343" customFormat="false" ht="15" hidden="false" customHeight="false" outlineLevel="0" collapsed="false">
      <c r="A1343" s="22" t="n">
        <v>45538</v>
      </c>
      <c r="B1343" s="23" t="n">
        <v>10.75</v>
      </c>
    </row>
    <row r="1344" customFormat="false" ht="15" hidden="false" customHeight="false" outlineLevel="0" collapsed="false">
      <c r="A1344" s="22" t="n">
        <v>45539</v>
      </c>
      <c r="B1344" s="23" t="n">
        <v>10.75</v>
      </c>
    </row>
    <row r="1345" customFormat="false" ht="15" hidden="false" customHeight="false" outlineLevel="0" collapsed="false">
      <c r="A1345" s="22" t="n">
        <v>45540</v>
      </c>
      <c r="B1345" s="23" t="n">
        <v>10.75</v>
      </c>
    </row>
    <row r="1346" customFormat="false" ht="15" hidden="false" customHeight="false" outlineLevel="0" collapsed="false">
      <c r="A1346" s="22" t="n">
        <v>45541</v>
      </c>
      <c r="B1346" s="23" t="n">
        <v>10.75</v>
      </c>
    </row>
    <row r="1347" customFormat="false" ht="15" hidden="false" customHeight="false" outlineLevel="0" collapsed="false">
      <c r="A1347" s="22" t="n">
        <v>45542</v>
      </c>
      <c r="B1347" s="23" t="n">
        <v>10.75</v>
      </c>
    </row>
    <row r="1348" customFormat="false" ht="15" hidden="false" customHeight="false" outlineLevel="0" collapsed="false">
      <c r="A1348" s="22" t="n">
        <v>45543</v>
      </c>
      <c r="B1348" s="23" t="n">
        <v>10.75</v>
      </c>
    </row>
    <row r="1349" customFormat="false" ht="15" hidden="false" customHeight="false" outlineLevel="0" collapsed="false">
      <c r="A1349" s="22" t="n">
        <v>45544</v>
      </c>
      <c r="B1349" s="23" t="n">
        <v>10.75</v>
      </c>
    </row>
    <row r="1350" customFormat="false" ht="15" hidden="false" customHeight="false" outlineLevel="0" collapsed="false">
      <c r="A1350" s="22" t="n">
        <v>45545</v>
      </c>
      <c r="B1350" s="23" t="n">
        <v>10.75</v>
      </c>
    </row>
    <row r="1351" customFormat="false" ht="15" hidden="false" customHeight="false" outlineLevel="0" collapsed="false">
      <c r="A1351" s="22" t="n">
        <v>45546</v>
      </c>
      <c r="B1351" s="23" t="n">
        <v>10.75</v>
      </c>
    </row>
    <row r="1352" customFormat="false" ht="15" hidden="false" customHeight="false" outlineLevel="0" collapsed="false">
      <c r="A1352" s="22" t="n">
        <v>45547</v>
      </c>
      <c r="B1352" s="23" t="n">
        <v>10.75</v>
      </c>
    </row>
    <row r="1353" customFormat="false" ht="15" hidden="false" customHeight="false" outlineLevel="0" collapsed="false">
      <c r="A1353" s="22" t="n">
        <v>45548</v>
      </c>
      <c r="B1353" s="23" t="n">
        <v>10.75</v>
      </c>
    </row>
    <row r="1354" customFormat="false" ht="15" hidden="false" customHeight="false" outlineLevel="0" collapsed="false">
      <c r="A1354" s="22" t="n">
        <v>45549</v>
      </c>
      <c r="B1354" s="23" t="n">
        <v>10.75</v>
      </c>
    </row>
    <row r="1355" customFormat="false" ht="15" hidden="false" customHeight="false" outlineLevel="0" collapsed="false">
      <c r="A1355" s="22" t="n">
        <v>45550</v>
      </c>
      <c r="B1355" s="23" t="n">
        <v>10.75</v>
      </c>
    </row>
    <row r="1356" customFormat="false" ht="15" hidden="false" customHeight="false" outlineLevel="0" collapsed="false">
      <c r="A1356" s="22" t="n">
        <v>45551</v>
      </c>
      <c r="B1356" s="23" t="n">
        <v>10.75</v>
      </c>
    </row>
    <row r="1357" customFormat="false" ht="15" hidden="false" customHeight="false" outlineLevel="0" collapsed="false">
      <c r="A1357" s="22" t="n">
        <v>45552</v>
      </c>
      <c r="B1357" s="23" t="n">
        <v>10.75</v>
      </c>
    </row>
    <row r="1358" customFormat="false" ht="15" hidden="false" customHeight="false" outlineLevel="0" collapsed="false">
      <c r="A1358" s="22" t="n">
        <v>45553</v>
      </c>
      <c r="B1358" s="23" t="n">
        <v>10.75</v>
      </c>
    </row>
    <row r="1359" customFormat="false" ht="15" hidden="false" customHeight="false" outlineLevel="0" collapsed="false">
      <c r="A1359" s="22" t="n">
        <v>45554</v>
      </c>
      <c r="B1359" s="23" t="n">
        <v>10.75</v>
      </c>
    </row>
    <row r="1360" customFormat="false" ht="15" hidden="false" customHeight="false" outlineLevel="0" collapsed="false">
      <c r="A1360" s="22" t="n">
        <v>45555</v>
      </c>
      <c r="B1360" s="23" t="n">
        <v>10.75</v>
      </c>
    </row>
    <row r="1361" customFormat="false" ht="15" hidden="false" customHeight="false" outlineLevel="0" collapsed="false">
      <c r="A1361" s="22" t="n">
        <v>45556</v>
      </c>
      <c r="B1361" s="23" t="n">
        <v>10.75</v>
      </c>
    </row>
    <row r="1362" customFormat="false" ht="15" hidden="false" customHeight="false" outlineLevel="0" collapsed="false">
      <c r="A1362" s="22" t="n">
        <v>45557</v>
      </c>
      <c r="B1362" s="23" t="n">
        <v>10.75</v>
      </c>
    </row>
    <row r="1363" customFormat="false" ht="15" hidden="false" customHeight="false" outlineLevel="0" collapsed="false">
      <c r="A1363" s="22" t="n">
        <v>45558</v>
      </c>
      <c r="B1363" s="23" t="n">
        <v>10.75</v>
      </c>
    </row>
    <row r="1364" customFormat="false" ht="15" hidden="false" customHeight="false" outlineLevel="0" collapsed="false">
      <c r="A1364" s="22" t="n">
        <v>45559</v>
      </c>
      <c r="B1364" s="23" t="n">
        <v>10.75</v>
      </c>
    </row>
    <row r="1365" customFormat="false" ht="15" hidden="false" customHeight="false" outlineLevel="0" collapsed="false">
      <c r="A1365" s="22" t="n">
        <v>45560</v>
      </c>
      <c r="B1365" s="23" t="n">
        <v>10.75</v>
      </c>
    </row>
    <row r="1366" customFormat="false" ht="15" hidden="false" customHeight="false" outlineLevel="0" collapsed="false">
      <c r="A1366" s="22" t="n">
        <v>45561</v>
      </c>
      <c r="B1366" s="23" t="n">
        <v>10.75</v>
      </c>
    </row>
    <row r="1367" customFormat="false" ht="15" hidden="false" customHeight="false" outlineLevel="0" collapsed="false">
      <c r="A1367" s="22" t="n">
        <v>45562</v>
      </c>
      <c r="B1367" s="23" t="n">
        <v>10.75</v>
      </c>
    </row>
    <row r="1368" customFormat="false" ht="15" hidden="false" customHeight="false" outlineLevel="0" collapsed="false">
      <c r="A1368" s="22" t="n">
        <v>45563</v>
      </c>
      <c r="B1368" s="23" t="n">
        <v>10.75</v>
      </c>
    </row>
    <row r="1369" customFormat="false" ht="15" hidden="false" customHeight="false" outlineLevel="0" collapsed="false">
      <c r="A1369" s="22" t="n">
        <v>45564</v>
      </c>
      <c r="B1369" s="23" t="n">
        <v>10.75</v>
      </c>
    </row>
    <row r="1370" customFormat="false" ht="15" hidden="false" customHeight="false" outlineLevel="0" collapsed="false">
      <c r="A1370" s="22" t="n">
        <v>45565</v>
      </c>
      <c r="B1370" s="23" t="n">
        <v>10.75</v>
      </c>
    </row>
    <row r="1371" customFormat="false" ht="15" hidden="false" customHeight="false" outlineLevel="0" collapsed="false">
      <c r="A1371" s="22" t="n">
        <v>45566</v>
      </c>
      <c r="B1371" s="23" t="n">
        <v>10.25</v>
      </c>
    </row>
    <row r="1372" customFormat="false" ht="15" hidden="false" customHeight="false" outlineLevel="0" collapsed="false">
      <c r="A1372" s="22" t="n">
        <v>45567</v>
      </c>
      <c r="B1372" s="23" t="n">
        <v>10.25</v>
      </c>
    </row>
    <row r="1373" customFormat="false" ht="15" hidden="false" customHeight="false" outlineLevel="0" collapsed="false">
      <c r="A1373" s="22" t="n">
        <v>45568</v>
      </c>
      <c r="B1373" s="23" t="n">
        <v>10.25</v>
      </c>
    </row>
    <row r="1374" customFormat="false" ht="15" hidden="false" customHeight="false" outlineLevel="0" collapsed="false">
      <c r="A1374" s="22" t="n">
        <v>45569</v>
      </c>
      <c r="B1374" s="23" t="n">
        <v>10.25</v>
      </c>
    </row>
    <row r="1375" customFormat="false" ht="15" hidden="false" customHeight="false" outlineLevel="0" collapsed="false">
      <c r="A1375" s="22" t="n">
        <v>45570</v>
      </c>
      <c r="B1375" s="23" t="n">
        <v>10.25</v>
      </c>
    </row>
    <row r="1376" customFormat="false" ht="15" hidden="false" customHeight="false" outlineLevel="0" collapsed="false">
      <c r="A1376" s="22" t="n">
        <v>45571</v>
      </c>
      <c r="B1376" s="23" t="n">
        <v>10.25</v>
      </c>
    </row>
    <row r="1377" customFormat="false" ht="15" hidden="false" customHeight="false" outlineLevel="0" collapsed="false">
      <c r="A1377" s="22" t="n">
        <v>45572</v>
      </c>
      <c r="B1377" s="23" t="n">
        <v>10.25</v>
      </c>
    </row>
    <row r="1378" customFormat="false" ht="15" hidden="false" customHeight="false" outlineLevel="0" collapsed="false">
      <c r="A1378" s="22" t="n">
        <v>45573</v>
      </c>
      <c r="B1378" s="23" t="n">
        <v>10.25</v>
      </c>
    </row>
    <row r="1379" customFormat="false" ht="15" hidden="false" customHeight="false" outlineLevel="0" collapsed="false">
      <c r="A1379" s="22" t="n">
        <v>45574</v>
      </c>
      <c r="B1379" s="23" t="n">
        <v>10.25</v>
      </c>
    </row>
    <row r="1380" customFormat="false" ht="15" hidden="false" customHeight="false" outlineLevel="0" collapsed="false">
      <c r="A1380" s="22" t="n">
        <v>45575</v>
      </c>
      <c r="B1380" s="23" t="n">
        <v>10.25</v>
      </c>
    </row>
    <row r="1381" customFormat="false" ht="15" hidden="false" customHeight="false" outlineLevel="0" collapsed="false">
      <c r="A1381" s="22" t="n">
        <v>45576</v>
      </c>
      <c r="B1381" s="23" t="n">
        <v>10.25</v>
      </c>
    </row>
    <row r="1382" customFormat="false" ht="15" hidden="false" customHeight="false" outlineLevel="0" collapsed="false">
      <c r="A1382" s="22" t="n">
        <v>45577</v>
      </c>
      <c r="B1382" s="23" t="n">
        <v>10.25</v>
      </c>
    </row>
    <row r="1383" customFormat="false" ht="15" hidden="false" customHeight="false" outlineLevel="0" collapsed="false">
      <c r="A1383" s="22" t="n">
        <v>45578</v>
      </c>
      <c r="B1383" s="23" t="n">
        <v>10.25</v>
      </c>
    </row>
    <row r="1384" customFormat="false" ht="15" hidden="false" customHeight="false" outlineLevel="0" collapsed="false">
      <c r="A1384" s="22" t="n">
        <v>45579</v>
      </c>
      <c r="B1384" s="23" t="n">
        <v>10.25</v>
      </c>
    </row>
    <row r="1385" customFormat="false" ht="15" hidden="false" customHeight="false" outlineLevel="0" collapsed="false">
      <c r="A1385" s="22" t="n">
        <v>45580</v>
      </c>
      <c r="B1385" s="23" t="n">
        <v>10.25</v>
      </c>
    </row>
    <row r="1386" customFormat="false" ht="15" hidden="false" customHeight="false" outlineLevel="0" collapsed="false">
      <c r="A1386" s="22" t="n">
        <v>45581</v>
      </c>
      <c r="B1386" s="23" t="n">
        <v>10.25</v>
      </c>
    </row>
    <row r="1387" customFormat="false" ht="15" hidden="false" customHeight="false" outlineLevel="0" collapsed="false">
      <c r="A1387" s="22" t="n">
        <v>45582</v>
      </c>
      <c r="B1387" s="23" t="n">
        <v>10.25</v>
      </c>
    </row>
    <row r="1388" customFormat="false" ht="15" hidden="false" customHeight="false" outlineLevel="0" collapsed="false">
      <c r="A1388" s="22" t="n">
        <v>45583</v>
      </c>
      <c r="B1388" s="23" t="n">
        <v>10.25</v>
      </c>
    </row>
    <row r="1389" customFormat="false" ht="15" hidden="false" customHeight="false" outlineLevel="0" collapsed="false">
      <c r="A1389" s="22" t="n">
        <v>45584</v>
      </c>
      <c r="B1389" s="23" t="n">
        <v>10.25</v>
      </c>
    </row>
    <row r="1390" customFormat="false" ht="15" hidden="false" customHeight="false" outlineLevel="0" collapsed="false">
      <c r="A1390" s="22" t="n">
        <v>45585</v>
      </c>
      <c r="B1390" s="23" t="n">
        <v>10.25</v>
      </c>
    </row>
    <row r="1391" customFormat="false" ht="15" hidden="false" customHeight="false" outlineLevel="0" collapsed="false">
      <c r="A1391" s="22" t="n">
        <v>45586</v>
      </c>
      <c r="B1391" s="23" t="n">
        <v>10.25</v>
      </c>
    </row>
    <row r="1392" customFormat="false" ht="15" hidden="false" customHeight="false" outlineLevel="0" collapsed="false">
      <c r="A1392" s="22" t="n">
        <v>45587</v>
      </c>
      <c r="B1392" s="23" t="n">
        <v>10.25</v>
      </c>
    </row>
    <row r="1393" customFormat="false" ht="15" hidden="false" customHeight="false" outlineLevel="0" collapsed="false">
      <c r="A1393" s="22" t="n">
        <v>45588</v>
      </c>
      <c r="B1393" s="23" t="n">
        <v>10.25</v>
      </c>
    </row>
    <row r="1394" customFormat="false" ht="15" hidden="false" customHeight="false" outlineLevel="0" collapsed="false">
      <c r="A1394" s="22" t="n">
        <v>45589</v>
      </c>
      <c r="B1394" s="23" t="n">
        <v>10.25</v>
      </c>
    </row>
    <row r="1395" customFormat="false" ht="15" hidden="false" customHeight="false" outlineLevel="0" collapsed="false">
      <c r="A1395" s="22" t="n">
        <v>45590</v>
      </c>
      <c r="B1395" s="23" t="n">
        <v>10.25</v>
      </c>
    </row>
    <row r="1396" customFormat="false" ht="15" hidden="false" customHeight="false" outlineLevel="0" collapsed="false">
      <c r="A1396" s="22" t="n">
        <v>45591</v>
      </c>
      <c r="B1396" s="23" t="n">
        <v>10.25</v>
      </c>
    </row>
    <row r="1397" customFormat="false" ht="15" hidden="false" customHeight="false" outlineLevel="0" collapsed="false">
      <c r="A1397" s="22" t="n">
        <v>45592</v>
      </c>
      <c r="B1397" s="23" t="n">
        <v>10.25</v>
      </c>
    </row>
    <row r="1398" customFormat="false" ht="15" hidden="false" customHeight="false" outlineLevel="0" collapsed="false">
      <c r="A1398" s="22" t="n">
        <v>45593</v>
      </c>
      <c r="B1398" s="23" t="n">
        <v>10.25</v>
      </c>
    </row>
    <row r="1399" customFormat="false" ht="15" hidden="false" customHeight="false" outlineLevel="0" collapsed="false">
      <c r="A1399" s="22" t="n">
        <v>45594</v>
      </c>
      <c r="B1399" s="23" t="n">
        <v>10.25</v>
      </c>
    </row>
    <row r="1400" customFormat="false" ht="15" hidden="false" customHeight="false" outlineLevel="0" collapsed="false">
      <c r="A1400" s="22" t="n">
        <v>45595</v>
      </c>
      <c r="B1400" s="23" t="n">
        <v>10.25</v>
      </c>
    </row>
    <row r="1401" customFormat="false" ht="15" hidden="false" customHeight="false" outlineLevel="0" collapsed="false">
      <c r="A1401" s="22" t="n">
        <v>45596</v>
      </c>
      <c r="B1401" s="23" t="n">
        <v>10.25</v>
      </c>
    </row>
    <row r="1402" customFormat="false" ht="15" hidden="false" customHeight="false" outlineLevel="0" collapsed="false">
      <c r="A1402" s="22" t="n">
        <v>45597</v>
      </c>
      <c r="B1402" s="23" t="n">
        <v>9.75</v>
      </c>
    </row>
    <row r="1403" customFormat="false" ht="15" hidden="false" customHeight="false" outlineLevel="0" collapsed="false">
      <c r="A1403" s="22" t="n">
        <v>45598</v>
      </c>
      <c r="B1403" s="23" t="n">
        <v>9.75</v>
      </c>
    </row>
    <row r="1404" customFormat="false" ht="15" hidden="false" customHeight="false" outlineLevel="0" collapsed="false">
      <c r="A1404" s="22" t="n">
        <v>45599</v>
      </c>
      <c r="B1404" s="23" t="n">
        <v>9.75</v>
      </c>
    </row>
    <row r="1405" customFormat="false" ht="15" hidden="false" customHeight="false" outlineLevel="0" collapsed="false">
      <c r="A1405" s="22" t="n">
        <v>45600</v>
      </c>
      <c r="B1405" s="23" t="n">
        <v>9.75</v>
      </c>
    </row>
    <row r="1406" customFormat="false" ht="15" hidden="false" customHeight="false" outlineLevel="0" collapsed="false">
      <c r="A1406" s="22" t="n">
        <v>45601</v>
      </c>
      <c r="B1406" s="23" t="n">
        <v>9.75</v>
      </c>
    </row>
    <row r="1407" customFormat="false" ht="15" hidden="false" customHeight="false" outlineLevel="0" collapsed="false">
      <c r="A1407" s="22" t="n">
        <v>45602</v>
      </c>
      <c r="B1407" s="23" t="n">
        <v>9.75</v>
      </c>
    </row>
    <row r="1408" customFormat="false" ht="15" hidden="false" customHeight="false" outlineLevel="0" collapsed="false">
      <c r="A1408" s="22" t="n">
        <v>45603</v>
      </c>
      <c r="B1408" s="23" t="n">
        <v>9.75</v>
      </c>
    </row>
    <row r="1409" customFormat="false" ht="15" hidden="false" customHeight="false" outlineLevel="0" collapsed="false">
      <c r="A1409" s="22" t="n">
        <v>45604</v>
      </c>
      <c r="B1409" s="23" t="n">
        <v>9.75</v>
      </c>
    </row>
    <row r="1410" customFormat="false" ht="15" hidden="false" customHeight="false" outlineLevel="0" collapsed="false">
      <c r="A1410" s="22" t="n">
        <v>45605</v>
      </c>
      <c r="B1410" s="23" t="n">
        <v>9.75</v>
      </c>
    </row>
    <row r="1411" customFormat="false" ht="15" hidden="false" customHeight="false" outlineLevel="0" collapsed="false">
      <c r="A1411" s="22" t="n">
        <v>45606</v>
      </c>
      <c r="B1411" s="23" t="n">
        <v>9.75</v>
      </c>
    </row>
    <row r="1412" customFormat="false" ht="15" hidden="false" customHeight="false" outlineLevel="0" collapsed="false">
      <c r="A1412" s="22" t="n">
        <v>45607</v>
      </c>
      <c r="B1412" s="23" t="n">
        <v>9.75</v>
      </c>
    </row>
    <row r="1413" customFormat="false" ht="15" hidden="false" customHeight="false" outlineLevel="0" collapsed="false">
      <c r="A1413" s="22" t="n">
        <v>45608</v>
      </c>
      <c r="B1413" s="23" t="n">
        <v>9.75</v>
      </c>
    </row>
    <row r="1414" customFormat="false" ht="15" hidden="false" customHeight="false" outlineLevel="0" collapsed="false">
      <c r="A1414" s="22" t="n">
        <v>45609</v>
      </c>
      <c r="B1414" s="23" t="n">
        <v>9.75</v>
      </c>
    </row>
    <row r="1415" customFormat="false" ht="15" hidden="false" customHeight="false" outlineLevel="0" collapsed="false">
      <c r="A1415" s="22" t="n">
        <v>45610</v>
      </c>
      <c r="B1415" s="23" t="n">
        <v>9.75</v>
      </c>
    </row>
    <row r="1416" customFormat="false" ht="15" hidden="false" customHeight="false" outlineLevel="0" collapsed="false">
      <c r="A1416" s="22" t="n">
        <v>45611</v>
      </c>
      <c r="B1416" s="23" t="n">
        <v>9.75</v>
      </c>
    </row>
    <row r="1417" customFormat="false" ht="15" hidden="false" customHeight="false" outlineLevel="0" collapsed="false">
      <c r="A1417" s="22" t="n">
        <v>45612</v>
      </c>
      <c r="B1417" s="23" t="n">
        <v>9.75</v>
      </c>
    </row>
    <row r="1418" customFormat="false" ht="15" hidden="false" customHeight="false" outlineLevel="0" collapsed="false">
      <c r="A1418" s="22" t="n">
        <v>45613</v>
      </c>
      <c r="B1418" s="23" t="n">
        <v>9.75</v>
      </c>
    </row>
    <row r="1419" customFormat="false" ht="15" hidden="false" customHeight="false" outlineLevel="0" collapsed="false">
      <c r="A1419" s="22" t="n">
        <v>45614</v>
      </c>
      <c r="B1419" s="23" t="n">
        <v>9.75</v>
      </c>
    </row>
    <row r="1420" customFormat="false" ht="15" hidden="false" customHeight="false" outlineLevel="0" collapsed="false">
      <c r="A1420" s="22" t="n">
        <v>45615</v>
      </c>
      <c r="B1420" s="23" t="n">
        <v>9.75</v>
      </c>
    </row>
    <row r="1421" customFormat="false" ht="15" hidden="false" customHeight="false" outlineLevel="0" collapsed="false">
      <c r="A1421" s="22" t="n">
        <v>45616</v>
      </c>
      <c r="B1421" s="23" t="n">
        <v>9.75</v>
      </c>
    </row>
    <row r="1422" customFormat="false" ht="15" hidden="false" customHeight="false" outlineLevel="0" collapsed="false">
      <c r="A1422" s="22" t="n">
        <v>45617</v>
      </c>
      <c r="B1422" s="23" t="n">
        <v>9.75</v>
      </c>
    </row>
    <row r="1423" customFormat="false" ht="15" hidden="false" customHeight="false" outlineLevel="0" collapsed="false">
      <c r="A1423" s="22" t="n">
        <v>45618</v>
      </c>
      <c r="B1423" s="23" t="n">
        <v>9.75</v>
      </c>
    </row>
    <row r="1424" customFormat="false" ht="15" hidden="false" customHeight="false" outlineLevel="0" collapsed="false">
      <c r="A1424" s="22" t="n">
        <v>45619</v>
      </c>
      <c r="B1424" s="23" t="n">
        <v>9.75</v>
      </c>
    </row>
    <row r="1425" customFormat="false" ht="15" hidden="false" customHeight="false" outlineLevel="0" collapsed="false">
      <c r="A1425" s="22" t="n">
        <v>45620</v>
      </c>
      <c r="B1425" s="23" t="n">
        <v>9.75</v>
      </c>
    </row>
    <row r="1426" customFormat="false" ht="15" hidden="false" customHeight="false" outlineLevel="0" collapsed="false">
      <c r="A1426" s="22" t="n">
        <v>45621</v>
      </c>
      <c r="B1426" s="23" t="n">
        <v>9.75</v>
      </c>
    </row>
    <row r="1427" customFormat="false" ht="15" hidden="false" customHeight="false" outlineLevel="0" collapsed="false">
      <c r="A1427" s="22" t="n">
        <v>45622</v>
      </c>
      <c r="B1427" s="23" t="n">
        <v>9.75</v>
      </c>
    </row>
    <row r="1428" customFormat="false" ht="15" hidden="false" customHeight="false" outlineLevel="0" collapsed="false">
      <c r="A1428" s="22" t="n">
        <v>45623</v>
      </c>
      <c r="B1428" s="23" t="n">
        <v>9.75</v>
      </c>
    </row>
    <row r="1429" customFormat="false" ht="15" hidden="false" customHeight="false" outlineLevel="0" collapsed="false">
      <c r="A1429" s="22" t="n">
        <v>45624</v>
      </c>
      <c r="B1429" s="23" t="n">
        <v>9.75</v>
      </c>
    </row>
    <row r="1430" customFormat="false" ht="15" hidden="false" customHeight="false" outlineLevel="0" collapsed="false">
      <c r="A1430" s="22" t="n">
        <v>45625</v>
      </c>
      <c r="B1430" s="23" t="n">
        <v>9.75</v>
      </c>
    </row>
    <row r="1431" customFormat="false" ht="15" hidden="false" customHeight="false" outlineLevel="0" collapsed="false">
      <c r="A1431" s="22" t="n">
        <v>45626</v>
      </c>
      <c r="B1431" s="23" t="n">
        <v>9.75</v>
      </c>
    </row>
    <row r="1432" customFormat="false" ht="15" hidden="false" customHeight="false" outlineLevel="0" collapsed="false">
      <c r="A1432" s="22" t="n">
        <v>45627</v>
      </c>
      <c r="B1432" s="23" t="n">
        <v>9.75</v>
      </c>
    </row>
    <row r="1433" customFormat="false" ht="15" hidden="false" customHeight="false" outlineLevel="0" collapsed="false">
      <c r="A1433" s="22" t="n">
        <v>45628</v>
      </c>
      <c r="B1433" s="23" t="n">
        <v>9.75</v>
      </c>
    </row>
    <row r="1434" customFormat="false" ht="15" hidden="false" customHeight="false" outlineLevel="0" collapsed="false">
      <c r="A1434" s="22" t="n">
        <v>45629</v>
      </c>
      <c r="B1434" s="23" t="n">
        <v>9.75</v>
      </c>
    </row>
    <row r="1435" customFormat="false" ht="15" hidden="false" customHeight="false" outlineLevel="0" collapsed="false">
      <c r="A1435" s="22" t="n">
        <v>45630</v>
      </c>
      <c r="B1435" s="23" t="n">
        <v>9.75</v>
      </c>
    </row>
    <row r="1436" customFormat="false" ht="15" hidden="false" customHeight="false" outlineLevel="0" collapsed="false">
      <c r="A1436" s="22" t="n">
        <v>45631</v>
      </c>
      <c r="B1436" s="23" t="n">
        <v>9.75</v>
      </c>
    </row>
    <row r="1437" customFormat="false" ht="15" hidden="false" customHeight="false" outlineLevel="0" collapsed="false">
      <c r="A1437" s="22" t="n">
        <v>45632</v>
      </c>
      <c r="B1437" s="23" t="n">
        <v>9.75</v>
      </c>
    </row>
    <row r="1438" customFormat="false" ht="15" hidden="false" customHeight="false" outlineLevel="0" collapsed="false">
      <c r="A1438" s="22" t="n">
        <v>45633</v>
      </c>
      <c r="B1438" s="23" t="n">
        <v>9.75</v>
      </c>
    </row>
    <row r="1439" customFormat="false" ht="15" hidden="false" customHeight="false" outlineLevel="0" collapsed="false">
      <c r="A1439" s="22" t="n">
        <v>45634</v>
      </c>
      <c r="B1439" s="23" t="n">
        <v>9.75</v>
      </c>
    </row>
    <row r="1440" customFormat="false" ht="15" hidden="false" customHeight="false" outlineLevel="0" collapsed="false">
      <c r="A1440" s="22" t="n">
        <v>45635</v>
      </c>
      <c r="B1440" s="23" t="n">
        <v>9.75</v>
      </c>
    </row>
    <row r="1441" customFormat="false" ht="15" hidden="false" customHeight="false" outlineLevel="0" collapsed="false">
      <c r="A1441" s="22" t="n">
        <v>45636</v>
      </c>
      <c r="B1441" s="23" t="n">
        <v>9.75</v>
      </c>
    </row>
    <row r="1442" customFormat="false" ht="15" hidden="false" customHeight="false" outlineLevel="0" collapsed="false">
      <c r="A1442" s="22" t="n">
        <v>45637</v>
      </c>
      <c r="B1442" s="23" t="n">
        <v>9.75</v>
      </c>
    </row>
    <row r="1443" customFormat="false" ht="15" hidden="false" customHeight="false" outlineLevel="0" collapsed="false">
      <c r="A1443" s="22" t="n">
        <v>45638</v>
      </c>
      <c r="B1443" s="23" t="n">
        <v>9.75</v>
      </c>
    </row>
    <row r="1444" customFormat="false" ht="15" hidden="false" customHeight="false" outlineLevel="0" collapsed="false">
      <c r="A1444" s="22" t="n">
        <v>45639</v>
      </c>
      <c r="B1444" s="23" t="n">
        <v>9.75</v>
      </c>
    </row>
    <row r="1445" customFormat="false" ht="15" hidden="false" customHeight="false" outlineLevel="0" collapsed="false">
      <c r="A1445" s="22" t="n">
        <v>45640</v>
      </c>
      <c r="B1445" s="23" t="n">
        <v>9.75</v>
      </c>
    </row>
    <row r="1446" customFormat="false" ht="15" hidden="false" customHeight="false" outlineLevel="0" collapsed="false">
      <c r="A1446" s="22" t="n">
        <v>45641</v>
      </c>
      <c r="B1446" s="23" t="n">
        <v>9.75</v>
      </c>
    </row>
    <row r="1447" customFormat="false" ht="15" hidden="false" customHeight="false" outlineLevel="0" collapsed="false">
      <c r="A1447" s="22" t="n">
        <v>45642</v>
      </c>
      <c r="B1447" s="23" t="n">
        <v>9.75</v>
      </c>
    </row>
    <row r="1448" customFormat="false" ht="15" hidden="false" customHeight="false" outlineLevel="0" collapsed="false">
      <c r="A1448" s="22" t="n">
        <v>45643</v>
      </c>
      <c r="B1448" s="23" t="n">
        <v>9.75</v>
      </c>
    </row>
    <row r="1449" customFormat="false" ht="15" hidden="false" customHeight="false" outlineLevel="0" collapsed="false">
      <c r="A1449" s="22" t="n">
        <v>45644</v>
      </c>
      <c r="B1449" s="23" t="n">
        <v>9.75</v>
      </c>
    </row>
    <row r="1450" customFormat="false" ht="15" hidden="false" customHeight="false" outlineLevel="0" collapsed="false">
      <c r="A1450" s="22" t="n">
        <v>45645</v>
      </c>
      <c r="B1450" s="23" t="n">
        <v>9.75</v>
      </c>
    </row>
    <row r="1451" customFormat="false" ht="15" hidden="false" customHeight="false" outlineLevel="0" collapsed="false">
      <c r="A1451" s="22" t="n">
        <v>45646</v>
      </c>
      <c r="B1451" s="23" t="n">
        <v>9.75</v>
      </c>
    </row>
    <row r="1452" customFormat="false" ht="15" hidden="false" customHeight="false" outlineLevel="0" collapsed="false">
      <c r="A1452" s="22" t="n">
        <v>45647</v>
      </c>
      <c r="B1452" s="23" t="n">
        <v>9.75</v>
      </c>
    </row>
    <row r="1453" customFormat="false" ht="15" hidden="false" customHeight="false" outlineLevel="0" collapsed="false">
      <c r="A1453" s="22" t="n">
        <v>45648</v>
      </c>
      <c r="B1453" s="23" t="n">
        <v>9.75</v>
      </c>
    </row>
    <row r="1454" customFormat="false" ht="15" hidden="false" customHeight="false" outlineLevel="0" collapsed="false">
      <c r="A1454" s="22" t="n">
        <v>45649</v>
      </c>
      <c r="B1454" s="23" t="n">
        <v>9.5</v>
      </c>
    </row>
    <row r="1455" customFormat="false" ht="15" hidden="false" customHeight="false" outlineLevel="0" collapsed="false">
      <c r="A1455" s="22" t="n">
        <v>45650</v>
      </c>
      <c r="B1455" s="23" t="n">
        <v>9.5</v>
      </c>
    </row>
    <row r="1456" customFormat="false" ht="15" hidden="false" customHeight="false" outlineLevel="0" collapsed="false">
      <c r="A1456" s="22" t="n">
        <v>45651</v>
      </c>
      <c r="B1456" s="23" t="n">
        <v>9.5</v>
      </c>
    </row>
    <row r="1457" customFormat="false" ht="15" hidden="false" customHeight="false" outlineLevel="0" collapsed="false">
      <c r="A1457" s="22" t="n">
        <v>45652</v>
      </c>
      <c r="B1457" s="23" t="n">
        <v>9.5</v>
      </c>
    </row>
    <row r="1458" customFormat="false" ht="15" hidden="false" customHeight="false" outlineLevel="0" collapsed="false">
      <c r="A1458" s="22" t="n">
        <v>45653</v>
      </c>
      <c r="B1458" s="23" t="n">
        <v>9.5</v>
      </c>
    </row>
    <row r="1459" customFormat="false" ht="15" hidden="false" customHeight="false" outlineLevel="0" collapsed="false">
      <c r="A1459" s="22" t="n">
        <v>45654</v>
      </c>
      <c r="B1459" s="23" t="n">
        <v>9.5</v>
      </c>
    </row>
    <row r="1460" customFormat="false" ht="15" hidden="false" customHeight="false" outlineLevel="0" collapsed="false">
      <c r="A1460" s="22" t="n">
        <v>45655</v>
      </c>
      <c r="B1460" s="23" t="n">
        <v>9.5</v>
      </c>
    </row>
    <row r="1461" customFormat="false" ht="15" hidden="false" customHeight="false" outlineLevel="0" collapsed="false">
      <c r="A1461" s="22" t="n">
        <v>45656</v>
      </c>
      <c r="B1461" s="23" t="n">
        <v>9.5</v>
      </c>
    </row>
    <row r="1462" customFormat="false" ht="15" hidden="false" customHeight="false" outlineLevel="0" collapsed="false">
      <c r="A1462" s="22" t="n">
        <v>45657</v>
      </c>
      <c r="B1462" s="23" t="n">
        <v>9.5</v>
      </c>
    </row>
    <row r="1463" customFormat="false" ht="15" hidden="false" customHeight="false" outlineLevel="0" collapsed="false">
      <c r="A1463" s="22" t="n">
        <v>45658</v>
      </c>
      <c r="B1463" s="23" t="n">
        <v>9.5</v>
      </c>
    </row>
    <row r="1464" customFormat="false" ht="15" hidden="false" customHeight="false" outlineLevel="0" collapsed="false">
      <c r="A1464" s="22" t="n">
        <v>45659</v>
      </c>
      <c r="B1464" s="23" t="n">
        <v>9.5</v>
      </c>
    </row>
    <row r="1465" customFormat="false" ht="15" hidden="false" customHeight="false" outlineLevel="0" collapsed="false">
      <c r="A1465" s="22" t="n">
        <v>45660</v>
      </c>
      <c r="B1465" s="23" t="n">
        <v>9.5</v>
      </c>
    </row>
    <row r="1466" customFormat="false" ht="15" hidden="false" customHeight="false" outlineLevel="0" collapsed="false">
      <c r="A1466" s="22" t="n">
        <v>45661</v>
      </c>
      <c r="B1466" s="23" t="n">
        <v>9.5</v>
      </c>
    </row>
    <row r="1467" customFormat="false" ht="15" hidden="false" customHeight="false" outlineLevel="0" collapsed="false">
      <c r="A1467" s="22" t="n">
        <v>45662</v>
      </c>
      <c r="B1467" s="23" t="n">
        <v>9.5</v>
      </c>
    </row>
    <row r="1468" customFormat="false" ht="15" hidden="false" customHeight="false" outlineLevel="0" collapsed="false">
      <c r="A1468" s="22" t="n">
        <v>45663</v>
      </c>
      <c r="B1468" s="23" t="n">
        <v>9.5</v>
      </c>
    </row>
    <row r="1469" customFormat="false" ht="15" hidden="false" customHeight="false" outlineLevel="0" collapsed="false">
      <c r="A1469" s="22" t="n">
        <v>45664</v>
      </c>
      <c r="B1469" s="23" t="n">
        <v>9.5</v>
      </c>
    </row>
    <row r="1470" customFormat="false" ht="15" hidden="false" customHeight="false" outlineLevel="0" collapsed="false">
      <c r="A1470" s="22" t="n">
        <v>45665</v>
      </c>
      <c r="B1470" s="23" t="n">
        <v>9.5</v>
      </c>
    </row>
    <row r="1471" customFormat="false" ht="15" hidden="false" customHeight="false" outlineLevel="0" collapsed="false">
      <c r="A1471" s="22" t="n">
        <v>45666</v>
      </c>
      <c r="B1471" s="23" t="n">
        <v>9.5</v>
      </c>
    </row>
    <row r="1472" customFormat="false" ht="15" hidden="false" customHeight="false" outlineLevel="0" collapsed="false">
      <c r="A1472" s="22" t="n">
        <v>45667</v>
      </c>
      <c r="B1472" s="23" t="n">
        <v>9.5</v>
      </c>
    </row>
    <row r="1473" customFormat="false" ht="15" hidden="false" customHeight="false" outlineLevel="0" collapsed="false">
      <c r="A1473" s="22" t="n">
        <v>45668</v>
      </c>
      <c r="B1473" s="23" t="n">
        <v>9.5</v>
      </c>
    </row>
    <row r="1474" customFormat="false" ht="15" hidden="false" customHeight="false" outlineLevel="0" collapsed="false">
      <c r="A1474" s="22" t="n">
        <v>45669</v>
      </c>
      <c r="B1474" s="23" t="n">
        <v>9.5</v>
      </c>
    </row>
    <row r="1475" customFormat="false" ht="15" hidden="false" customHeight="false" outlineLevel="0" collapsed="false">
      <c r="A1475" s="22" t="n">
        <v>45670</v>
      </c>
      <c r="B1475" s="23" t="n">
        <v>9.5</v>
      </c>
    </row>
    <row r="1476" customFormat="false" ht="15" hidden="false" customHeight="false" outlineLevel="0" collapsed="false">
      <c r="A1476" s="22" t="n">
        <v>45671</v>
      </c>
      <c r="B1476" s="23" t="n">
        <v>9.5</v>
      </c>
    </row>
    <row r="1477" customFormat="false" ht="15" hidden="false" customHeight="false" outlineLevel="0" collapsed="false">
      <c r="A1477" s="22" t="n">
        <v>45672</v>
      </c>
      <c r="B1477" s="23" t="n">
        <v>9.5</v>
      </c>
    </row>
    <row r="1478" customFormat="false" ht="15" hidden="false" customHeight="false" outlineLevel="0" collapsed="false">
      <c r="A1478" s="22" t="n">
        <v>45673</v>
      </c>
      <c r="B1478" s="23" t="n">
        <v>9.5</v>
      </c>
    </row>
    <row r="1479" customFormat="false" ht="15" hidden="false" customHeight="false" outlineLevel="0" collapsed="false">
      <c r="A1479" s="22" t="n">
        <v>45674</v>
      </c>
      <c r="B1479" s="23" t="n">
        <v>9.5</v>
      </c>
    </row>
    <row r="1480" customFormat="false" ht="15" hidden="false" customHeight="false" outlineLevel="0" collapsed="false">
      <c r="A1480" s="22" t="n">
        <v>45675</v>
      </c>
      <c r="B1480" s="23" t="n">
        <v>9.5</v>
      </c>
    </row>
    <row r="1481" customFormat="false" ht="15" hidden="false" customHeight="false" outlineLevel="0" collapsed="false">
      <c r="A1481" s="22" t="n">
        <v>45676</v>
      </c>
      <c r="B1481" s="23" t="n">
        <v>9.5</v>
      </c>
    </row>
    <row r="1482" customFormat="false" ht="15" hidden="false" customHeight="false" outlineLevel="0" collapsed="false">
      <c r="A1482" s="22" t="n">
        <v>45677</v>
      </c>
      <c r="B1482" s="23" t="n">
        <v>9.5</v>
      </c>
    </row>
    <row r="1483" customFormat="false" ht="15" hidden="false" customHeight="false" outlineLevel="0" collapsed="false">
      <c r="A1483" s="22" t="n">
        <v>45678</v>
      </c>
      <c r="B1483" s="23" t="n">
        <v>9.5</v>
      </c>
    </row>
    <row r="1484" customFormat="false" ht="15" hidden="false" customHeight="false" outlineLevel="0" collapsed="false">
      <c r="A1484" s="22" t="n">
        <v>45679</v>
      </c>
      <c r="B1484" s="23" t="n">
        <v>9.5</v>
      </c>
    </row>
    <row r="1485" customFormat="false" ht="15" hidden="false" customHeight="false" outlineLevel="0" collapsed="false">
      <c r="A1485" s="22" t="n">
        <v>45680</v>
      </c>
      <c r="B1485" s="23" t="n">
        <v>9.5</v>
      </c>
    </row>
    <row r="1486" customFormat="false" ht="15" hidden="false" customHeight="false" outlineLevel="0" collapsed="false">
      <c r="A1486" s="22" t="n">
        <v>45681</v>
      </c>
      <c r="B1486" s="23" t="n">
        <v>9.5</v>
      </c>
    </row>
    <row r="1487" customFormat="false" ht="15" hidden="false" customHeight="false" outlineLevel="0" collapsed="false">
      <c r="A1487" s="22" t="n">
        <v>45682</v>
      </c>
      <c r="B1487" s="23" t="n">
        <v>9.5</v>
      </c>
    </row>
    <row r="1488" customFormat="false" ht="15" hidden="false" customHeight="false" outlineLevel="0" collapsed="false">
      <c r="A1488" s="22" t="n">
        <v>45683</v>
      </c>
      <c r="B1488" s="23" t="n">
        <v>9.5</v>
      </c>
    </row>
    <row r="1489" customFormat="false" ht="15" hidden="false" customHeight="false" outlineLevel="0" collapsed="false">
      <c r="A1489" s="22" t="n">
        <v>45684</v>
      </c>
      <c r="B1489" s="23" t="n">
        <v>9.5</v>
      </c>
    </row>
    <row r="1490" customFormat="false" ht="15" hidden="false" customHeight="false" outlineLevel="0" collapsed="false">
      <c r="A1490" s="22" t="n">
        <v>45685</v>
      </c>
      <c r="B1490" s="23" t="n">
        <v>9.5</v>
      </c>
    </row>
    <row r="1491" customFormat="false" ht="15" hidden="false" customHeight="false" outlineLevel="0" collapsed="false">
      <c r="A1491" s="22" t="n">
        <v>45686</v>
      </c>
      <c r="B1491" s="23" t="n">
        <v>9.5</v>
      </c>
    </row>
    <row r="1492" customFormat="false" ht="15" hidden="false" customHeight="false" outlineLevel="0" collapsed="false">
      <c r="A1492" s="22" t="n">
        <v>45687</v>
      </c>
      <c r="B1492" s="23" t="n">
        <v>9.5</v>
      </c>
    </row>
    <row r="1493" customFormat="false" ht="15" hidden="false" customHeight="false" outlineLevel="0" collapsed="false">
      <c r="A1493" s="22" t="n">
        <v>45688</v>
      </c>
      <c r="B1493" s="23" t="n">
        <v>9.5</v>
      </c>
    </row>
    <row r="1494" customFormat="false" ht="15" hidden="false" customHeight="false" outlineLevel="0" collapsed="false">
      <c r="A1494" s="22" t="n">
        <v>45689</v>
      </c>
      <c r="B1494" s="23" t="n">
        <v>9.5</v>
      </c>
    </row>
    <row r="1495" customFormat="false" ht="15" hidden="false" customHeight="false" outlineLevel="0" collapsed="false">
      <c r="A1495" s="22" t="n">
        <v>45690</v>
      </c>
      <c r="B1495" s="23" t="n">
        <v>9.5</v>
      </c>
    </row>
    <row r="1496" customFormat="false" ht="15" hidden="false" customHeight="false" outlineLevel="0" collapsed="false">
      <c r="A1496" s="22" t="n">
        <v>45691</v>
      </c>
      <c r="B1496" s="23" t="n">
        <v>9.5</v>
      </c>
    </row>
    <row r="1497" customFormat="false" ht="15" hidden="false" customHeight="false" outlineLevel="0" collapsed="false">
      <c r="A1497" s="22" t="n">
        <v>45692</v>
      </c>
      <c r="B1497" s="23" t="n">
        <v>9.5</v>
      </c>
    </row>
    <row r="1498" customFormat="false" ht="15" hidden="false" customHeight="false" outlineLevel="0" collapsed="false">
      <c r="A1498" s="22" t="n">
        <v>45693</v>
      </c>
      <c r="B1498" s="23" t="n">
        <v>9.5</v>
      </c>
    </row>
    <row r="1499" customFormat="false" ht="15" hidden="false" customHeight="false" outlineLevel="0" collapsed="false">
      <c r="A1499" s="22" t="n">
        <v>45694</v>
      </c>
      <c r="B1499" s="23" t="n">
        <v>9.5</v>
      </c>
    </row>
    <row r="1500" customFormat="false" ht="15" hidden="false" customHeight="false" outlineLevel="0" collapsed="false">
      <c r="A1500" s="22" t="n">
        <v>45695</v>
      </c>
      <c r="B1500" s="23" t="n">
        <v>9.5</v>
      </c>
    </row>
    <row r="1501" customFormat="false" ht="15" hidden="false" customHeight="false" outlineLevel="0" collapsed="false">
      <c r="A1501" s="22" t="n">
        <v>45696</v>
      </c>
      <c r="B1501" s="23" t="n">
        <v>9.5</v>
      </c>
    </row>
    <row r="1502" customFormat="false" ht="15" hidden="false" customHeight="false" outlineLevel="0" collapsed="false">
      <c r="A1502" s="22" t="n">
        <v>45697</v>
      </c>
      <c r="B1502" s="23" t="n">
        <v>9.5</v>
      </c>
    </row>
    <row r="1503" customFormat="false" ht="15" hidden="false" customHeight="false" outlineLevel="0" collapsed="false">
      <c r="A1503" s="22" t="n">
        <v>45698</v>
      </c>
      <c r="B1503" s="23" t="n">
        <v>9.5</v>
      </c>
    </row>
    <row r="1504" customFormat="false" ht="15" hidden="false" customHeight="false" outlineLevel="0" collapsed="false">
      <c r="A1504" s="22" t="n">
        <v>45699</v>
      </c>
      <c r="B1504" s="23" t="n">
        <v>9.5</v>
      </c>
    </row>
    <row r="1505" customFormat="false" ht="15" hidden="false" customHeight="false" outlineLevel="0" collapsed="false">
      <c r="A1505" s="22" t="n">
        <v>45700</v>
      </c>
      <c r="B1505" s="23" t="n">
        <v>9.5</v>
      </c>
    </row>
    <row r="1506" customFormat="false" ht="15" hidden="false" customHeight="false" outlineLevel="0" collapsed="false">
      <c r="A1506" s="22" t="n">
        <v>45701</v>
      </c>
      <c r="B1506" s="23" t="n">
        <v>9.5</v>
      </c>
    </row>
    <row r="1507" customFormat="false" ht="15" hidden="false" customHeight="false" outlineLevel="0" collapsed="false">
      <c r="A1507" s="22" t="n">
        <v>45702</v>
      </c>
      <c r="B1507" s="23" t="n">
        <v>9.5</v>
      </c>
    </row>
    <row r="1508" customFormat="false" ht="15" hidden="false" customHeight="false" outlineLevel="0" collapsed="false">
      <c r="A1508" s="22" t="n">
        <v>45703</v>
      </c>
      <c r="B1508" s="23" t="n">
        <v>9.5</v>
      </c>
    </row>
    <row r="1509" customFormat="false" ht="15" hidden="false" customHeight="false" outlineLevel="0" collapsed="false">
      <c r="A1509" s="22" t="n">
        <v>45704</v>
      </c>
      <c r="B1509" s="23" t="n">
        <v>9.5</v>
      </c>
    </row>
    <row r="1510" customFormat="false" ht="15" hidden="false" customHeight="false" outlineLevel="0" collapsed="false">
      <c r="A1510" s="22" t="n">
        <v>45705</v>
      </c>
      <c r="B1510" s="23" t="n">
        <v>9.5</v>
      </c>
    </row>
    <row r="1511" customFormat="false" ht="15" hidden="false" customHeight="false" outlineLevel="0" collapsed="false">
      <c r="A1511" s="22" t="n">
        <v>45706</v>
      </c>
      <c r="B1511" s="23" t="n">
        <v>9.5</v>
      </c>
    </row>
    <row r="1512" customFormat="false" ht="15" hidden="false" customHeight="false" outlineLevel="0" collapsed="false">
      <c r="A1512" s="22" t="n">
        <v>45707</v>
      </c>
      <c r="B1512" s="23" t="n">
        <v>9.5</v>
      </c>
    </row>
    <row r="1513" customFormat="false" ht="15" hidden="false" customHeight="false" outlineLevel="0" collapsed="false">
      <c r="A1513" s="22" t="n">
        <v>45708</v>
      </c>
      <c r="B1513" s="23" t="n">
        <v>9.5</v>
      </c>
    </row>
    <row r="1514" customFormat="false" ht="15" hidden="false" customHeight="false" outlineLevel="0" collapsed="false">
      <c r="A1514" s="22" t="n">
        <v>45709</v>
      </c>
      <c r="B1514" s="23" t="n">
        <v>9.5</v>
      </c>
    </row>
    <row r="1515" customFormat="false" ht="15" hidden="false" customHeight="false" outlineLevel="0" collapsed="false">
      <c r="A1515" s="22" t="n">
        <v>45710</v>
      </c>
      <c r="B1515" s="23" t="n">
        <v>9.5</v>
      </c>
    </row>
    <row r="1516" customFormat="false" ht="15" hidden="false" customHeight="false" outlineLevel="0" collapsed="false">
      <c r="A1516" s="22" t="n">
        <v>45711</v>
      </c>
      <c r="B1516" s="23" t="n">
        <v>9.5</v>
      </c>
    </row>
    <row r="1517" customFormat="false" ht="15" hidden="false" customHeight="false" outlineLevel="0" collapsed="false">
      <c r="A1517" s="22" t="n">
        <v>45712</v>
      </c>
      <c r="B1517" s="23" t="n">
        <v>9.5</v>
      </c>
    </row>
    <row r="1518" customFormat="false" ht="15" hidden="false" customHeight="false" outlineLevel="0" collapsed="false">
      <c r="A1518" s="22" t="n">
        <v>45713</v>
      </c>
      <c r="B1518" s="23" t="n">
        <v>9.5</v>
      </c>
    </row>
    <row r="1519" customFormat="false" ht="15" hidden="false" customHeight="false" outlineLevel="0" collapsed="false">
      <c r="A1519" s="22" t="n">
        <v>45714</v>
      </c>
      <c r="B1519" s="23" t="n">
        <v>9.5</v>
      </c>
    </row>
    <row r="1520" customFormat="false" ht="15" hidden="false" customHeight="false" outlineLevel="0" collapsed="false">
      <c r="A1520" s="22" t="n">
        <v>45715</v>
      </c>
      <c r="B1520" s="23" t="n">
        <v>9.5</v>
      </c>
    </row>
    <row r="1521" customFormat="false" ht="15" hidden="false" customHeight="false" outlineLevel="0" collapsed="false">
      <c r="A1521" s="22" t="n">
        <v>45716</v>
      </c>
      <c r="B1521" s="23" t="n">
        <v>9.5</v>
      </c>
    </row>
    <row r="1522" customFormat="false" ht="15" hidden="false" customHeight="false" outlineLevel="0" collapsed="false">
      <c r="A1522" s="22" t="n">
        <v>45717</v>
      </c>
      <c r="B1522" s="23" t="n">
        <v>9.5</v>
      </c>
    </row>
    <row r="1523" customFormat="false" ht="15" hidden="false" customHeight="false" outlineLevel="0" collapsed="false">
      <c r="A1523" s="22" t="n">
        <v>45718</v>
      </c>
      <c r="B1523" s="23" t="n">
        <v>9.5</v>
      </c>
    </row>
    <row r="1524" customFormat="false" ht="15" hidden="false" customHeight="false" outlineLevel="0" collapsed="false">
      <c r="A1524" s="22" t="n">
        <v>45719</v>
      </c>
      <c r="B1524" s="23" t="n">
        <v>9.5</v>
      </c>
    </row>
    <row r="1525" customFormat="false" ht="15" hidden="false" customHeight="false" outlineLevel="0" collapsed="false">
      <c r="A1525" s="22" t="n">
        <v>45720</v>
      </c>
      <c r="B1525" s="23" t="n">
        <v>9.5</v>
      </c>
    </row>
    <row r="1526" customFormat="false" ht="15" hidden="false" customHeight="false" outlineLevel="0" collapsed="false">
      <c r="A1526" s="22" t="n">
        <v>45721</v>
      </c>
      <c r="B1526" s="23" t="n">
        <v>9.5</v>
      </c>
    </row>
    <row r="1527" customFormat="false" ht="15" hidden="false" customHeight="false" outlineLevel="0" collapsed="false">
      <c r="A1527" s="22" t="n">
        <v>45722</v>
      </c>
      <c r="B1527" s="23" t="n">
        <v>9.5</v>
      </c>
    </row>
    <row r="1528" customFormat="false" ht="15" hidden="false" customHeight="false" outlineLevel="0" collapsed="false">
      <c r="A1528" s="22" t="n">
        <v>45723</v>
      </c>
      <c r="B1528" s="23" t="n">
        <v>9.5</v>
      </c>
    </row>
    <row r="1529" customFormat="false" ht="15" hidden="false" customHeight="false" outlineLevel="0" collapsed="false">
      <c r="A1529" s="22" t="n">
        <v>45724</v>
      </c>
      <c r="B1529" s="23" t="n">
        <v>9.5</v>
      </c>
    </row>
    <row r="1530" customFormat="false" ht="15" hidden="false" customHeight="false" outlineLevel="0" collapsed="false">
      <c r="A1530" s="22" t="n">
        <v>45725</v>
      </c>
      <c r="B1530" s="23" t="n">
        <v>9.5</v>
      </c>
    </row>
    <row r="1531" customFormat="false" ht="15" hidden="false" customHeight="false" outlineLevel="0" collapsed="false">
      <c r="A1531" s="22" t="n">
        <v>45726</v>
      </c>
      <c r="B1531" s="23" t="n">
        <v>9.5</v>
      </c>
    </row>
    <row r="1532" customFormat="false" ht="15" hidden="false" customHeight="false" outlineLevel="0" collapsed="false">
      <c r="A1532" s="22" t="n">
        <v>45727</v>
      </c>
      <c r="B1532" s="23" t="n">
        <v>9.5</v>
      </c>
    </row>
    <row r="1533" customFormat="false" ht="15" hidden="false" customHeight="false" outlineLevel="0" collapsed="false">
      <c r="A1533" s="22" t="n">
        <v>45728</v>
      </c>
      <c r="B1533" s="23" t="n">
        <v>9.5</v>
      </c>
    </row>
    <row r="1534" customFormat="false" ht="15" hidden="false" customHeight="false" outlineLevel="0" collapsed="false">
      <c r="A1534" s="22" t="n">
        <v>45729</v>
      </c>
      <c r="B1534" s="23" t="n">
        <v>9.5</v>
      </c>
    </row>
    <row r="1535" customFormat="false" ht="15" hidden="false" customHeight="false" outlineLevel="0" collapsed="false">
      <c r="A1535" s="22" t="n">
        <v>45730</v>
      </c>
      <c r="B1535" s="23" t="n">
        <v>9.5</v>
      </c>
    </row>
    <row r="1536" customFormat="false" ht="15" hidden="false" customHeight="false" outlineLevel="0" collapsed="false">
      <c r="A1536" s="22" t="n">
        <v>45731</v>
      </c>
      <c r="B1536" s="23" t="n">
        <v>9.5</v>
      </c>
    </row>
    <row r="1537" customFormat="false" ht="15" hidden="false" customHeight="false" outlineLevel="0" collapsed="false">
      <c r="A1537" s="22" t="n">
        <v>45732</v>
      </c>
      <c r="B1537" s="23" t="n">
        <v>9.5</v>
      </c>
    </row>
    <row r="1538" customFormat="false" ht="15" hidden="false" customHeight="false" outlineLevel="0" collapsed="false">
      <c r="A1538" s="22" t="n">
        <v>45733</v>
      </c>
      <c r="B1538" s="23" t="n">
        <v>9.5</v>
      </c>
    </row>
    <row r="1539" customFormat="false" ht="15" hidden="false" customHeight="false" outlineLevel="0" collapsed="false">
      <c r="A1539" s="22" t="n">
        <v>45734</v>
      </c>
      <c r="B1539" s="23" t="n">
        <v>9.5</v>
      </c>
    </row>
    <row r="1540" customFormat="false" ht="15" hidden="false" customHeight="false" outlineLevel="0" collapsed="false">
      <c r="A1540" s="22" t="n">
        <v>45735</v>
      </c>
      <c r="B1540" s="23" t="n">
        <v>9.5</v>
      </c>
    </row>
    <row r="1541" customFormat="false" ht="15" hidden="false" customHeight="false" outlineLevel="0" collapsed="false">
      <c r="A1541" s="22" t="n">
        <v>45736</v>
      </c>
      <c r="B1541" s="23" t="n">
        <v>9.5</v>
      </c>
    </row>
    <row r="1542" customFormat="false" ht="15" hidden="false" customHeight="false" outlineLevel="0" collapsed="false">
      <c r="A1542" s="22" t="n">
        <v>45737</v>
      </c>
      <c r="B1542" s="23" t="n">
        <v>9.5</v>
      </c>
    </row>
    <row r="1543" customFormat="false" ht="15" hidden="false" customHeight="false" outlineLevel="0" collapsed="false">
      <c r="A1543" s="22" t="n">
        <v>45738</v>
      </c>
      <c r="B1543" s="23" t="n">
        <v>9.5</v>
      </c>
    </row>
    <row r="1544" customFormat="false" ht="15" hidden="false" customHeight="false" outlineLevel="0" collapsed="false">
      <c r="A1544" s="22" t="n">
        <v>45739</v>
      </c>
      <c r="B1544" s="23" t="n">
        <v>9.5</v>
      </c>
    </row>
    <row r="1545" customFormat="false" ht="15" hidden="false" customHeight="false" outlineLevel="0" collapsed="false">
      <c r="A1545" s="22" t="n">
        <v>45740</v>
      </c>
      <c r="B1545" s="23" t="n">
        <v>9.5</v>
      </c>
    </row>
    <row r="1546" customFormat="false" ht="15" hidden="false" customHeight="false" outlineLevel="0" collapsed="false">
      <c r="A1546" s="22" t="n">
        <v>45741</v>
      </c>
      <c r="B1546" s="23" t="n">
        <v>9.5</v>
      </c>
    </row>
    <row r="1547" customFormat="false" ht="15" hidden="false" customHeight="false" outlineLevel="0" collapsed="false">
      <c r="A1547" s="22" t="n">
        <v>45742</v>
      </c>
      <c r="B1547" s="23" t="n">
        <v>9.5</v>
      </c>
    </row>
    <row r="1548" customFormat="false" ht="15" hidden="false" customHeight="false" outlineLevel="0" collapsed="false">
      <c r="A1548" s="22" t="n">
        <v>45743</v>
      </c>
      <c r="B1548" s="23" t="n">
        <v>9.5</v>
      </c>
    </row>
    <row r="1549" customFormat="false" ht="15" hidden="false" customHeight="false" outlineLevel="0" collapsed="false">
      <c r="A1549" s="22" t="n">
        <v>45744</v>
      </c>
      <c r="B1549" s="23" t="n">
        <v>9.5</v>
      </c>
    </row>
    <row r="1550" customFormat="false" ht="15" hidden="false" customHeight="false" outlineLevel="0" collapsed="false">
      <c r="A1550" s="22" t="n">
        <v>45745</v>
      </c>
      <c r="B1550" s="23" t="n">
        <v>9.5</v>
      </c>
    </row>
    <row r="1551" customFormat="false" ht="15" hidden="false" customHeight="false" outlineLevel="0" collapsed="false">
      <c r="A1551" s="22" t="n">
        <v>45746</v>
      </c>
      <c r="B1551" s="23" t="n">
        <v>9.5</v>
      </c>
    </row>
    <row r="1552" customFormat="false" ht="15" hidden="false" customHeight="false" outlineLevel="0" collapsed="false">
      <c r="A1552" s="22" t="n">
        <v>45747</v>
      </c>
      <c r="B1552" s="23" t="n">
        <v>9.5</v>
      </c>
    </row>
    <row r="1553" customFormat="false" ht="15" hidden="false" customHeight="false" outlineLevel="0" collapsed="false">
      <c r="A1553" s="22" t="n">
        <v>45748</v>
      </c>
      <c r="B1553" s="23" t="n">
        <v>9.5</v>
      </c>
    </row>
    <row r="1554" customFormat="false" ht="15" hidden="false" customHeight="false" outlineLevel="0" collapsed="false">
      <c r="A1554" s="22" t="n">
        <v>45749</v>
      </c>
      <c r="B1554" s="23" t="n">
        <v>9.5</v>
      </c>
    </row>
    <row r="1555" customFormat="false" ht="15" hidden="false" customHeight="false" outlineLevel="0" collapsed="false">
      <c r="A1555" s="22" t="n">
        <v>45750</v>
      </c>
      <c r="B1555" s="23" t="n">
        <v>9.5</v>
      </c>
    </row>
    <row r="1556" customFormat="false" ht="15" hidden="false" customHeight="false" outlineLevel="0" collapsed="false">
      <c r="A1556" s="22" t="n">
        <v>45751</v>
      </c>
      <c r="B1556" s="23" t="n">
        <v>9.5</v>
      </c>
    </row>
    <row r="1557" customFormat="false" ht="15" hidden="false" customHeight="false" outlineLevel="0" collapsed="false">
      <c r="A1557" s="22" t="n">
        <v>45752</v>
      </c>
      <c r="B1557" s="23" t="n">
        <v>9.5</v>
      </c>
    </row>
    <row r="1558" customFormat="false" ht="15" hidden="false" customHeight="false" outlineLevel="0" collapsed="false">
      <c r="A1558" s="22" t="n">
        <v>45753</v>
      </c>
      <c r="B1558" s="23" t="n">
        <v>9.5</v>
      </c>
    </row>
    <row r="1559" customFormat="false" ht="15" hidden="false" customHeight="false" outlineLevel="0" collapsed="false">
      <c r="A1559" s="22" t="n">
        <v>45754</v>
      </c>
      <c r="B1559" s="23" t="n">
        <v>9.5</v>
      </c>
    </row>
    <row r="1560" customFormat="false" ht="15" hidden="false" customHeight="false" outlineLevel="0" collapsed="false">
      <c r="A1560" s="22" t="n">
        <v>45755</v>
      </c>
      <c r="B1560" s="23" t="n">
        <v>9.5</v>
      </c>
    </row>
    <row r="1561" customFormat="false" ht="15" hidden="false" customHeight="false" outlineLevel="0" collapsed="false">
      <c r="A1561" s="22" t="n">
        <v>45756</v>
      </c>
      <c r="B1561" s="23" t="n">
        <v>9.5</v>
      </c>
    </row>
    <row r="1562" customFormat="false" ht="15" hidden="false" customHeight="false" outlineLevel="0" collapsed="false">
      <c r="A1562" s="22" t="n">
        <v>45757</v>
      </c>
      <c r="B1562" s="23" t="n">
        <v>9.5</v>
      </c>
    </row>
    <row r="1563" customFormat="false" ht="15" hidden="false" customHeight="false" outlineLevel="0" collapsed="false">
      <c r="A1563" s="22" t="n">
        <v>45758</v>
      </c>
      <c r="B1563" s="23" t="n">
        <v>9.5</v>
      </c>
    </row>
    <row r="1564" customFormat="false" ht="15" hidden="false" customHeight="false" outlineLevel="0" collapsed="false">
      <c r="A1564" s="22" t="n">
        <v>45759</v>
      </c>
      <c r="B1564" s="23" t="n">
        <v>9.5</v>
      </c>
    </row>
    <row r="1565" customFormat="false" ht="15" hidden="false" customHeight="false" outlineLevel="0" collapsed="false">
      <c r="A1565" s="22" t="n">
        <v>45760</v>
      </c>
      <c r="B1565" s="23" t="n">
        <v>9.5</v>
      </c>
    </row>
    <row r="1566" customFormat="false" ht="15" hidden="false" customHeight="false" outlineLevel="0" collapsed="false">
      <c r="A1566" s="22" t="n">
        <v>45761</v>
      </c>
      <c r="B1566" s="23" t="n">
        <v>9.5</v>
      </c>
    </row>
    <row r="1567" customFormat="false" ht="15" hidden="false" customHeight="false" outlineLevel="0" collapsed="false">
      <c r="A1567" s="22" t="n">
        <v>45762</v>
      </c>
      <c r="B1567" s="23" t="n">
        <v>9.5</v>
      </c>
    </row>
    <row r="1568" customFormat="false" ht="15" hidden="false" customHeight="false" outlineLevel="0" collapsed="false">
      <c r="A1568" s="22" t="n">
        <v>45763</v>
      </c>
      <c r="B1568" s="23" t="n">
        <v>9.5</v>
      </c>
    </row>
    <row r="1569" customFormat="false" ht="15" hidden="false" customHeight="false" outlineLevel="0" collapsed="false">
      <c r="A1569" s="22" t="n">
        <v>45764</v>
      </c>
      <c r="B1569" s="23" t="n">
        <v>9.5</v>
      </c>
    </row>
    <row r="1570" customFormat="false" ht="15" hidden="false" customHeight="false" outlineLevel="0" collapsed="false">
      <c r="A1570" s="22" t="n">
        <v>45765</v>
      </c>
      <c r="B1570" s="23" t="n">
        <v>9.5</v>
      </c>
    </row>
    <row r="1571" customFormat="false" ht="15" hidden="false" customHeight="false" outlineLevel="0" collapsed="false">
      <c r="A1571" s="22" t="n">
        <v>45766</v>
      </c>
      <c r="B1571" s="23" t="n">
        <v>9.5</v>
      </c>
    </row>
    <row r="1572" customFormat="false" ht="15" hidden="false" customHeight="false" outlineLevel="0" collapsed="false">
      <c r="A1572" s="22" t="n">
        <v>45767</v>
      </c>
      <c r="B1572" s="23" t="n">
        <v>9.5</v>
      </c>
    </row>
    <row r="1573" customFormat="false" ht="15" hidden="false" customHeight="false" outlineLevel="0" collapsed="false">
      <c r="A1573" s="22" t="n">
        <v>45768</v>
      </c>
      <c r="B1573" s="23" t="n">
        <v>9.5</v>
      </c>
    </row>
    <row r="1574" customFormat="false" ht="15" hidden="false" customHeight="false" outlineLevel="0" collapsed="false">
      <c r="A1574" s="22" t="n">
        <v>45769</v>
      </c>
      <c r="B1574" s="23" t="n">
        <v>9.5</v>
      </c>
    </row>
    <row r="1575" customFormat="false" ht="15" hidden="false" customHeight="false" outlineLevel="0" collapsed="false">
      <c r="A1575" s="22" t="n">
        <v>45770</v>
      </c>
      <c r="B1575" s="23" t="n">
        <v>9.5</v>
      </c>
    </row>
    <row r="1576" customFormat="false" ht="15" hidden="false" customHeight="false" outlineLevel="0" collapsed="false">
      <c r="A1576" s="22" t="n">
        <v>45771</v>
      </c>
      <c r="B1576" s="23" t="n">
        <v>9.5</v>
      </c>
    </row>
    <row r="1577" customFormat="false" ht="15" hidden="false" customHeight="false" outlineLevel="0" collapsed="false">
      <c r="A1577" s="22" t="n">
        <v>45772</v>
      </c>
      <c r="B1577" s="23" t="n">
        <v>9.5</v>
      </c>
    </row>
    <row r="1578" customFormat="false" ht="15" hidden="false" customHeight="false" outlineLevel="0" collapsed="false">
      <c r="A1578" s="22" t="n">
        <v>45773</v>
      </c>
      <c r="B1578" s="23" t="n">
        <v>9.5</v>
      </c>
    </row>
    <row r="1579" customFormat="false" ht="15" hidden="false" customHeight="false" outlineLevel="0" collapsed="false">
      <c r="A1579" s="22" t="n">
        <v>45774</v>
      </c>
      <c r="B1579" s="23" t="n">
        <v>9.5</v>
      </c>
    </row>
    <row r="1580" customFormat="false" ht="15" hidden="false" customHeight="false" outlineLevel="0" collapsed="false">
      <c r="A1580" s="22" t="n">
        <v>45775</v>
      </c>
      <c r="B1580" s="23" t="n">
        <v>9.5</v>
      </c>
    </row>
    <row r="1581" customFormat="false" ht="15" hidden="false" customHeight="false" outlineLevel="0" collapsed="false">
      <c r="A1581" s="22" t="n">
        <v>45776</v>
      </c>
      <c r="B1581" s="23" t="n">
        <v>9.5</v>
      </c>
    </row>
    <row r="1582" customFormat="false" ht="15" hidden="false" customHeight="false" outlineLevel="0" collapsed="false">
      <c r="A1582" s="22" t="n">
        <v>45777</v>
      </c>
      <c r="B1582" s="23" t="n">
        <v>9.5</v>
      </c>
    </row>
    <row r="1583" customFormat="false" ht="15" hidden="false" customHeight="false" outlineLevel="0" collapsed="false">
      <c r="A1583" s="22" t="n">
        <v>45778</v>
      </c>
      <c r="B1583" s="23" t="n">
        <v>9.5</v>
      </c>
    </row>
    <row r="1584" customFormat="false" ht="15" hidden="false" customHeight="false" outlineLevel="0" collapsed="false">
      <c r="A1584" s="22" t="n">
        <v>45779</v>
      </c>
      <c r="B1584" s="23" t="n">
        <v>9.25</v>
      </c>
    </row>
    <row r="1585" customFormat="false" ht="15" hidden="false" customHeight="false" outlineLevel="0" collapsed="false">
      <c r="A1585" s="22" t="n">
        <v>45780</v>
      </c>
      <c r="B1585" s="23" t="n">
        <v>9.25</v>
      </c>
    </row>
    <row r="1586" customFormat="false" ht="15" hidden="false" customHeight="false" outlineLevel="0" collapsed="false">
      <c r="A1586" s="22" t="n">
        <v>45781</v>
      </c>
      <c r="B1586" s="23" t="n">
        <v>9.25</v>
      </c>
    </row>
    <row r="1587" customFormat="false" ht="15" hidden="false" customHeight="false" outlineLevel="0" collapsed="false">
      <c r="A1587" s="22" t="n">
        <v>45782</v>
      </c>
      <c r="B1587" s="23" t="n">
        <v>9.25</v>
      </c>
    </row>
    <row r="1588" customFormat="false" ht="15" hidden="false" customHeight="false" outlineLevel="0" collapsed="false">
      <c r="A1588" s="22" t="n">
        <v>45783</v>
      </c>
      <c r="B1588" s="23" t="n">
        <v>9.25</v>
      </c>
    </row>
    <row r="1589" customFormat="false" ht="15" hidden="false" customHeight="false" outlineLevel="0" collapsed="false">
      <c r="A1589" s="22" t="n">
        <v>45784</v>
      </c>
      <c r="B1589" s="23" t="n">
        <v>9.25</v>
      </c>
    </row>
    <row r="1590" customFormat="false" ht="15" hidden="false" customHeight="false" outlineLevel="0" collapsed="false">
      <c r="A1590" s="22" t="n">
        <v>45785</v>
      </c>
      <c r="B1590" s="23" t="n">
        <v>9.25</v>
      </c>
    </row>
    <row r="1591" customFormat="false" ht="15" hidden="false" customHeight="false" outlineLevel="0" collapsed="false">
      <c r="A1591" s="22" t="n">
        <v>45786</v>
      </c>
      <c r="B1591" s="23" t="n">
        <v>9.25</v>
      </c>
    </row>
    <row r="1592" customFormat="false" ht="15" hidden="false" customHeight="false" outlineLevel="0" collapsed="false">
      <c r="A1592" s="22" t="n">
        <v>45787</v>
      </c>
      <c r="B1592" s="23" t="n">
        <v>9.25</v>
      </c>
    </row>
    <row r="1593" customFormat="false" ht="15" hidden="false" customHeight="false" outlineLevel="0" collapsed="false">
      <c r="A1593" s="22" t="n">
        <v>45788</v>
      </c>
      <c r="B1593" s="23" t="n">
        <v>9.25</v>
      </c>
    </row>
    <row r="1594" customFormat="false" ht="15" hidden="false" customHeight="false" outlineLevel="0" collapsed="false">
      <c r="A1594" s="22" t="n">
        <v>45789</v>
      </c>
      <c r="B1594" s="23" t="n">
        <v>9.25</v>
      </c>
    </row>
    <row r="1595" customFormat="false" ht="15" hidden="false" customHeight="false" outlineLevel="0" collapsed="false">
      <c r="A1595" s="22" t="n">
        <v>45790</v>
      </c>
      <c r="B1595" s="23" t="n">
        <v>9.25</v>
      </c>
    </row>
    <row r="1596" customFormat="false" ht="15" hidden="false" customHeight="false" outlineLevel="0" collapsed="false">
      <c r="A1596" s="22" t="n">
        <v>45791</v>
      </c>
      <c r="B1596" s="23" t="n">
        <v>9.25</v>
      </c>
    </row>
    <row r="1597" customFormat="false" ht="15" hidden="false" customHeight="false" outlineLevel="0" collapsed="false">
      <c r="A1597" s="22" t="n">
        <v>45792</v>
      </c>
      <c r="B1597" s="23" t="n">
        <v>9.25</v>
      </c>
    </row>
    <row r="1598" customFormat="false" ht="15" hidden="false" customHeight="false" outlineLevel="0" collapsed="false">
      <c r="A1598" s="22" t="n">
        <v>45793</v>
      </c>
      <c r="B1598" s="23" t="n">
        <v>9.25</v>
      </c>
    </row>
    <row r="1599" customFormat="false" ht="15" hidden="false" customHeight="false" outlineLevel="0" collapsed="false">
      <c r="A1599" s="22" t="n">
        <v>45794</v>
      </c>
      <c r="B1599" s="23" t="n">
        <v>9.25</v>
      </c>
    </row>
    <row r="1600" customFormat="false" ht="15" hidden="false" customHeight="false" outlineLevel="0" collapsed="false">
      <c r="A1600" s="22" t="n">
        <v>45795</v>
      </c>
      <c r="B1600" s="23" t="n">
        <v>9.25</v>
      </c>
    </row>
    <row r="1601" customFormat="false" ht="15" hidden="false" customHeight="false" outlineLevel="0" collapsed="false">
      <c r="A1601" s="22" t="n">
        <v>45796</v>
      </c>
      <c r="B1601" s="23" t="n">
        <v>9.25</v>
      </c>
    </row>
    <row r="1602" customFormat="false" ht="15" hidden="false" customHeight="false" outlineLevel="0" collapsed="false">
      <c r="A1602" s="22" t="n">
        <v>45797</v>
      </c>
      <c r="B1602" s="23" t="n">
        <v>9.25</v>
      </c>
    </row>
    <row r="1603" customFormat="false" ht="15" hidden="false" customHeight="false" outlineLevel="0" collapsed="false">
      <c r="A1603" s="22" t="n">
        <v>45798</v>
      </c>
      <c r="B1603" s="23" t="n">
        <v>9.25</v>
      </c>
    </row>
    <row r="1604" customFormat="false" ht="15" hidden="false" customHeight="false" outlineLevel="0" collapsed="false">
      <c r="A1604" s="22" t="n">
        <v>45799</v>
      </c>
      <c r="B1604" s="23" t="n">
        <v>9.25</v>
      </c>
    </row>
    <row r="1605" customFormat="false" ht="15" hidden="false" customHeight="false" outlineLevel="0" collapsed="false">
      <c r="A1605" s="22" t="n">
        <v>45800</v>
      </c>
      <c r="B1605" s="23" t="n">
        <v>9.25</v>
      </c>
    </row>
    <row r="1606" customFormat="false" ht="15" hidden="false" customHeight="false" outlineLevel="0" collapsed="false">
      <c r="A1606" s="22" t="n">
        <v>45801</v>
      </c>
      <c r="B1606" s="23" t="n">
        <v>9.25</v>
      </c>
    </row>
    <row r="1607" customFormat="false" ht="15" hidden="false" customHeight="false" outlineLevel="0" collapsed="false">
      <c r="A1607" s="22" t="n">
        <v>45802</v>
      </c>
      <c r="B1607" s="23" t="n">
        <v>9.25</v>
      </c>
    </row>
    <row r="1608" customFormat="false" ht="15" hidden="false" customHeight="false" outlineLevel="0" collapsed="false">
      <c r="A1608" s="22" t="n">
        <v>45803</v>
      </c>
      <c r="B1608" s="23" t="n">
        <v>9.25</v>
      </c>
    </row>
    <row r="1609" customFormat="false" ht="15" hidden="false" customHeight="false" outlineLevel="0" collapsed="false">
      <c r="A1609" s="22" t="n">
        <v>45804</v>
      </c>
      <c r="B1609" s="23" t="n">
        <v>9.25</v>
      </c>
    </row>
    <row r="1610" customFormat="false" ht="15" hidden="false" customHeight="false" outlineLevel="0" collapsed="false">
      <c r="A1610" s="22" t="n">
        <v>45805</v>
      </c>
      <c r="B1610" s="23" t="n">
        <v>9.25</v>
      </c>
    </row>
    <row r="1611" customFormat="false" ht="15" hidden="false" customHeight="false" outlineLevel="0" collapsed="false">
      <c r="A1611" s="22" t="n">
        <v>45806</v>
      </c>
      <c r="B1611" s="23" t="n">
        <v>9.25</v>
      </c>
    </row>
    <row r="1612" customFormat="false" ht="15" hidden="false" customHeight="false" outlineLevel="0" collapsed="false">
      <c r="A1612" s="22" t="n">
        <v>45807</v>
      </c>
      <c r="B1612" s="23" t="n">
        <v>9.25</v>
      </c>
    </row>
    <row r="1613" customFormat="false" ht="15" hidden="false" customHeight="false" outlineLevel="0" collapsed="false">
      <c r="A1613" s="22" t="n">
        <v>45808</v>
      </c>
      <c r="B1613" s="23" t="n">
        <v>9.25</v>
      </c>
    </row>
    <row r="1614" customFormat="false" ht="15" hidden="false" customHeight="false" outlineLevel="0" collapsed="false">
      <c r="A1614" s="22" t="n">
        <v>45809</v>
      </c>
      <c r="B1614" s="23" t="n">
        <v>9.25</v>
      </c>
    </row>
    <row r="1615" customFormat="false" ht="15" hidden="false" customHeight="false" outlineLevel="0" collapsed="false">
      <c r="A1615" s="22" t="n">
        <v>45810</v>
      </c>
      <c r="B1615" s="23" t="n">
        <v>9.25</v>
      </c>
    </row>
    <row r="1616" customFormat="false" ht="15" hidden="false" customHeight="false" outlineLevel="0" collapsed="false">
      <c r="A1616" s="22" t="n">
        <v>45811</v>
      </c>
      <c r="B1616" s="23" t="n">
        <v>9.25</v>
      </c>
    </row>
    <row r="1617" customFormat="false" ht="15" hidden="false" customHeight="false" outlineLevel="0" collapsed="false">
      <c r="A1617" s="22" t="n">
        <v>45812</v>
      </c>
      <c r="B1617" s="23" t="n">
        <v>9.25</v>
      </c>
    </row>
    <row r="1618" customFormat="false" ht="15" hidden="false" customHeight="false" outlineLevel="0" collapsed="false">
      <c r="A1618" s="22" t="n">
        <v>45813</v>
      </c>
      <c r="B1618" s="23" t="n">
        <v>9.25</v>
      </c>
    </row>
    <row r="1619" customFormat="false" ht="15" hidden="false" customHeight="false" outlineLevel="0" collapsed="false">
      <c r="A1619" s="22" t="n">
        <v>45814</v>
      </c>
      <c r="B1619" s="23" t="n">
        <v>9.25</v>
      </c>
    </row>
    <row r="1620" customFormat="false" ht="15" hidden="false" customHeight="false" outlineLevel="0" collapsed="false">
      <c r="A1620" s="22" t="n">
        <v>45815</v>
      </c>
      <c r="B1620" s="23" t="n">
        <v>9.25</v>
      </c>
    </row>
    <row r="1621" customFormat="false" ht="15" hidden="false" customHeight="false" outlineLevel="0" collapsed="false">
      <c r="A1621" s="22" t="n">
        <v>45816</v>
      </c>
      <c r="B1621" s="23" t="n">
        <v>9.25</v>
      </c>
    </row>
    <row r="1622" customFormat="false" ht="15" hidden="false" customHeight="false" outlineLevel="0" collapsed="false">
      <c r="A1622" s="22" t="n">
        <v>45817</v>
      </c>
      <c r="B1622" s="23" t="n">
        <v>9.25</v>
      </c>
    </row>
    <row r="1623" customFormat="false" ht="15" hidden="false" customHeight="false" outlineLevel="0" collapsed="false">
      <c r="A1623" s="22" t="n">
        <v>45818</v>
      </c>
      <c r="B1623" s="23" t="n">
        <v>9.25</v>
      </c>
    </row>
    <row r="1624" customFormat="false" ht="15" hidden="false" customHeight="false" outlineLevel="0" collapsed="false">
      <c r="A1624" s="22" t="n">
        <v>45819</v>
      </c>
      <c r="B1624" s="23" t="n">
        <v>9.25</v>
      </c>
    </row>
    <row r="1625" customFormat="false" ht="15" hidden="false" customHeight="false" outlineLevel="0" collapsed="false">
      <c r="A1625" s="22" t="n">
        <v>45820</v>
      </c>
      <c r="B1625" s="23" t="n">
        <v>9.25</v>
      </c>
    </row>
    <row r="1626" customFormat="false" ht="15" hidden="false" customHeight="false" outlineLevel="0" collapsed="false">
      <c r="A1626" s="22" t="n">
        <v>45821</v>
      </c>
      <c r="B1626" s="23" t="n">
        <v>9.25</v>
      </c>
    </row>
    <row r="1627" customFormat="false" ht="15" hidden="false" customHeight="false" outlineLevel="0" collapsed="false">
      <c r="A1627" s="22" t="n">
        <v>45822</v>
      </c>
      <c r="B1627" s="23" t="n">
        <v>9.25</v>
      </c>
    </row>
    <row r="1628" customFormat="false" ht="15" hidden="false" customHeight="false" outlineLevel="0" collapsed="false">
      <c r="A1628" s="22" t="n">
        <v>45823</v>
      </c>
      <c r="B1628" s="23" t="n">
        <v>9.25</v>
      </c>
    </row>
    <row r="1629" customFormat="false" ht="15" hidden="false" customHeight="false" outlineLevel="0" collapsed="false">
      <c r="A1629" s="22" t="n">
        <v>45824</v>
      </c>
      <c r="B1629" s="23" t="n">
        <v>9.25</v>
      </c>
    </row>
    <row r="1630" customFormat="false" ht="15" hidden="false" customHeight="false" outlineLevel="0" collapsed="false">
      <c r="A1630" s="22" t="n">
        <v>45825</v>
      </c>
      <c r="B1630" s="23" t="n">
        <v>9.25</v>
      </c>
    </row>
    <row r="1631" customFormat="false" ht="15" hidden="false" customHeight="false" outlineLevel="0" collapsed="false">
      <c r="A1631" s="22" t="n">
        <v>45826</v>
      </c>
      <c r="B1631" s="23" t="n">
        <v>9.25</v>
      </c>
    </row>
    <row r="1632" customFormat="false" ht="15" hidden="false" customHeight="false" outlineLevel="0" collapsed="false">
      <c r="A1632" s="22" t="n">
        <v>45827</v>
      </c>
      <c r="B1632" s="23" t="n">
        <v>9.25</v>
      </c>
    </row>
    <row r="1633" customFormat="false" ht="15" hidden="false" customHeight="false" outlineLevel="0" collapsed="false">
      <c r="A1633" s="22" t="n">
        <v>45828</v>
      </c>
      <c r="B1633" s="23" t="n">
        <v>9.25</v>
      </c>
    </row>
    <row r="1634" customFormat="false" ht="15" hidden="false" customHeight="false" outlineLevel="0" collapsed="false">
      <c r="A1634" s="22" t="n">
        <v>45829</v>
      </c>
      <c r="B1634" s="23" t="n">
        <v>9.25</v>
      </c>
    </row>
    <row r="1635" customFormat="false" ht="15" hidden="false" customHeight="false" outlineLevel="0" collapsed="false">
      <c r="A1635" s="22" t="n">
        <v>45830</v>
      </c>
      <c r="B1635" s="23" t="n">
        <v>9.25</v>
      </c>
    </row>
    <row r="1636" customFormat="false" ht="15" hidden="false" customHeight="false" outlineLevel="0" collapsed="false">
      <c r="A1636" s="22" t="n">
        <v>45831</v>
      </c>
      <c r="B1636" s="23" t="n">
        <v>9.25</v>
      </c>
    </row>
    <row r="1637" customFormat="false" ht="15" hidden="false" customHeight="false" outlineLevel="0" collapsed="false">
      <c r="A1637" s="22" t="n">
        <v>45832</v>
      </c>
      <c r="B1637" s="23" t="n">
        <v>9.25</v>
      </c>
    </row>
    <row r="1638" customFormat="false" ht="15" hidden="false" customHeight="false" outlineLevel="0" collapsed="false">
      <c r="A1638" s="22" t="n">
        <v>45833</v>
      </c>
      <c r="B1638" s="23" t="n">
        <v>9.25</v>
      </c>
    </row>
    <row r="1639" customFormat="false" ht="15" hidden="false" customHeight="false" outlineLevel="0" collapsed="false">
      <c r="A1639" s="22" t="n">
        <v>45834</v>
      </c>
      <c r="B1639" s="23" t="n">
        <v>9.25</v>
      </c>
    </row>
    <row r="1640" customFormat="false" ht="15" hidden="false" customHeight="false" outlineLevel="0" collapsed="false">
      <c r="A1640" s="22" t="n">
        <v>45835</v>
      </c>
      <c r="B1640" s="23" t="n">
        <v>9.25</v>
      </c>
    </row>
    <row r="1641" customFormat="false" ht="15" hidden="false" customHeight="false" outlineLevel="0" collapsed="false">
      <c r="A1641" s="22" t="n">
        <v>45836</v>
      </c>
      <c r="B1641" s="23" t="n">
        <v>9.25</v>
      </c>
    </row>
    <row r="1642" customFormat="false" ht="15" hidden="false" customHeight="false" outlineLevel="0" collapsed="false">
      <c r="A1642" s="22" t="n">
        <v>45837</v>
      </c>
      <c r="B1642" s="23" t="n">
        <v>9.25</v>
      </c>
    </row>
    <row r="1643" customFormat="false" ht="15" hidden="false" customHeight="false" outlineLevel="0" collapsed="false">
      <c r="A1643" s="22" t="n">
        <v>45838</v>
      </c>
      <c r="B1643" s="23" t="n">
        <v>9.25</v>
      </c>
    </row>
    <row r="1644" customFormat="false" ht="15" hidden="false" customHeight="false" outlineLevel="0" collapsed="false">
      <c r="A1644" s="22" t="n">
        <v>45839</v>
      </c>
      <c r="B1644" s="23" t="n">
        <v>9.25</v>
      </c>
    </row>
    <row r="1645" customFormat="false" ht="15" hidden="false" customHeight="false" outlineLevel="0" collapsed="false">
      <c r="A1645" s="22" t="n">
        <v>45840</v>
      </c>
      <c r="B1645" s="23" t="n">
        <v>9.25</v>
      </c>
    </row>
    <row r="1646" customFormat="false" ht="15" hidden="false" customHeight="false" outlineLevel="0" collapsed="false">
      <c r="A1646" s="22" t="n">
        <v>45841</v>
      </c>
      <c r="B1646" s="23" t="n">
        <v>9.25</v>
      </c>
    </row>
    <row r="1647" customFormat="false" ht="15" hidden="false" customHeight="false" outlineLevel="0" collapsed="false">
      <c r="A1647" s="22" t="n">
        <v>45842</v>
      </c>
      <c r="B1647" s="23" t="n">
        <v>9.25</v>
      </c>
    </row>
    <row r="1648" customFormat="false" ht="15" hidden="false" customHeight="false" outlineLevel="0" collapsed="false">
      <c r="A1648" s="22" t="n">
        <v>45843</v>
      </c>
      <c r="B1648" s="23" t="n">
        <v>9.25</v>
      </c>
    </row>
    <row r="1649" customFormat="false" ht="15" hidden="false" customHeight="false" outlineLevel="0" collapsed="false">
      <c r="A1649" s="22" t="n">
        <v>45844</v>
      </c>
      <c r="B1649" s="23" t="n">
        <v>9.25</v>
      </c>
    </row>
    <row r="1650" customFormat="false" ht="15" hidden="false" customHeight="false" outlineLevel="0" collapsed="false">
      <c r="A1650" s="22" t="n">
        <v>45845</v>
      </c>
      <c r="B1650" s="23" t="n">
        <v>9.25</v>
      </c>
    </row>
    <row r="1651" customFormat="false" ht="15" hidden="false" customHeight="false" outlineLevel="0" collapsed="false">
      <c r="A1651" s="22" t="n">
        <v>45846</v>
      </c>
      <c r="B1651" s="23" t="n">
        <v>9.25</v>
      </c>
    </row>
    <row r="1652" customFormat="false" ht="15" hidden="false" customHeight="false" outlineLevel="0" collapsed="false">
      <c r="A1652" s="22" t="n">
        <v>45847</v>
      </c>
      <c r="B1652" s="23" t="n">
        <v>9.25</v>
      </c>
    </row>
    <row r="1653" customFormat="false" ht="15" hidden="false" customHeight="false" outlineLevel="0" collapsed="false">
      <c r="A1653" s="22" t="n">
        <v>45848</v>
      </c>
      <c r="B1653" s="23" t="n">
        <v>9.25</v>
      </c>
    </row>
    <row r="1654" customFormat="false" ht="15" hidden="false" customHeight="false" outlineLevel="0" collapsed="false">
      <c r="A1654" s="22" t="n">
        <v>45849</v>
      </c>
      <c r="B1654" s="23" t="n">
        <v>9.25</v>
      </c>
    </row>
    <row r="1655" customFormat="false" ht="15" hidden="false" customHeight="false" outlineLevel="0" collapsed="false">
      <c r="A1655" s="22" t="n">
        <v>45850</v>
      </c>
      <c r="B1655" s="23" t="n">
        <v>9.25</v>
      </c>
    </row>
    <row r="1656" customFormat="false" ht="15" hidden="false" customHeight="false" outlineLevel="0" collapsed="false">
      <c r="A1656" s="22" t="n">
        <v>45851</v>
      </c>
      <c r="B1656" s="23" t="n">
        <v>9.25</v>
      </c>
    </row>
    <row r="1657" customFormat="false" ht="15" hidden="false" customHeight="false" outlineLevel="0" collapsed="false">
      <c r="A1657" s="22" t="n">
        <v>45852</v>
      </c>
      <c r="B1657" s="23" t="n">
        <v>9.25</v>
      </c>
    </row>
    <row r="1658" customFormat="false" ht="15" hidden="false" customHeight="false" outlineLevel="0" collapsed="false">
      <c r="A1658" s="22" t="n">
        <v>45853</v>
      </c>
      <c r="B1658" s="23" t="n">
        <v>9.25</v>
      </c>
    </row>
    <row r="1659" customFormat="false" ht="15" hidden="false" customHeight="false" outlineLevel="0" collapsed="false">
      <c r="A1659" s="22" t="n">
        <v>45854</v>
      </c>
      <c r="B1659" s="23" t="n">
        <v>9.25</v>
      </c>
    </row>
    <row r="1660" customFormat="false" ht="15" hidden="false" customHeight="false" outlineLevel="0" collapsed="false">
      <c r="A1660" s="22" t="n">
        <v>45855</v>
      </c>
      <c r="B1660" s="23" t="n">
        <v>9.25</v>
      </c>
    </row>
    <row r="1661" customFormat="false" ht="15" hidden="false" customHeight="false" outlineLevel="0" collapsed="false">
      <c r="A1661" s="22" t="n">
        <v>45856</v>
      </c>
      <c r="B1661" s="23" t="n">
        <v>9.25</v>
      </c>
    </row>
    <row r="1662" customFormat="false" ht="15" hidden="false" customHeight="false" outlineLevel="0" collapsed="false">
      <c r="A1662" s="22" t="n">
        <v>45857</v>
      </c>
      <c r="B1662" s="23" t="n">
        <v>9.25</v>
      </c>
    </row>
    <row r="1663" customFormat="false" ht="15" hidden="false" customHeight="false" outlineLevel="0" collapsed="false">
      <c r="A1663" s="22" t="n">
        <v>45858</v>
      </c>
      <c r="B1663" s="23" t="n">
        <v>9.25</v>
      </c>
    </row>
    <row r="1664" customFormat="false" ht="15" hidden="false" customHeight="false" outlineLevel="0" collapsed="false">
      <c r="A1664" s="22" t="n">
        <v>45859</v>
      </c>
      <c r="B1664" s="23" t="n">
        <v>9.25</v>
      </c>
    </row>
    <row r="1665" customFormat="false" ht="15" hidden="false" customHeight="false" outlineLevel="0" collapsed="false">
      <c r="A1665" s="22" t="n">
        <v>45860</v>
      </c>
      <c r="B1665" s="23" t="n">
        <v>9.25</v>
      </c>
    </row>
    <row r="1666" customFormat="false" ht="15" hidden="false" customHeight="false" outlineLevel="0" collapsed="false">
      <c r="A1666" s="22" t="n">
        <v>45861</v>
      </c>
      <c r="B1666" s="23" t="n">
        <v>9.25</v>
      </c>
    </row>
    <row r="1667" customFormat="false" ht="15" hidden="false" customHeight="false" outlineLevel="0" collapsed="false">
      <c r="A1667" s="22" t="n">
        <v>45862</v>
      </c>
      <c r="B1667" s="23" t="n">
        <v>9.25</v>
      </c>
    </row>
    <row r="1668" customFormat="false" ht="15" hidden="false" customHeight="false" outlineLevel="0" collapsed="false">
      <c r="A1668" s="22" t="n">
        <v>45863</v>
      </c>
      <c r="B1668" s="23" t="n">
        <v>9.25</v>
      </c>
    </row>
    <row r="1669" customFormat="false" ht="15" hidden="false" customHeight="false" outlineLevel="0" collapsed="false">
      <c r="A1669" s="22" t="n">
        <v>45864</v>
      </c>
      <c r="B1669" s="23" t="n">
        <v>9.25</v>
      </c>
    </row>
    <row r="1670" customFormat="false" ht="15" hidden="false" customHeight="false" outlineLevel="0" collapsed="false">
      <c r="A1670" s="22" t="n">
        <v>45865</v>
      </c>
      <c r="B1670" s="23" t="n">
        <v>9.25</v>
      </c>
    </row>
    <row r="1671" customFormat="false" ht="15" hidden="false" customHeight="false" outlineLevel="0" collapsed="false">
      <c r="A1671" s="22" t="n">
        <v>45866</v>
      </c>
      <c r="B1671" s="23" t="n">
        <v>9.25</v>
      </c>
    </row>
    <row r="1672" customFormat="false" ht="15" hidden="false" customHeight="false" outlineLevel="0" collapsed="false">
      <c r="A1672" s="22" t="n">
        <v>45867</v>
      </c>
      <c r="B1672" s="23" t="n">
        <v>9.25</v>
      </c>
    </row>
    <row r="1673" customFormat="false" ht="15" hidden="false" customHeight="false" outlineLevel="0" collapsed="false">
      <c r="A1673" s="22" t="n">
        <v>45868</v>
      </c>
      <c r="B1673" s="23" t="n">
        <v>9.25</v>
      </c>
    </row>
    <row r="1674" customFormat="false" ht="15" hidden="false" customHeight="false" outlineLevel="0" collapsed="false">
      <c r="A1674" s="22" t="n">
        <v>45869</v>
      </c>
      <c r="B1674" s="23" t="n">
        <v>9.25</v>
      </c>
    </row>
    <row r="1675" customFormat="false" ht="15" hidden="false" customHeight="false" outlineLevel="0" collapsed="false">
      <c r="A1675" s="22" t="n">
        <v>45870</v>
      </c>
      <c r="B1675" s="23" t="n">
        <v>9.25</v>
      </c>
    </row>
    <row r="1676" customFormat="false" ht="15" hidden="false" customHeight="false" outlineLevel="0" collapsed="false">
      <c r="A1676" s="22" t="n">
        <v>45871</v>
      </c>
      <c r="B1676" s="23" t="n">
        <v>9.25</v>
      </c>
    </row>
    <row r="1677" customFormat="false" ht="15" hidden="false" customHeight="false" outlineLevel="0" collapsed="false">
      <c r="A1677" s="22" t="n">
        <v>45872</v>
      </c>
      <c r="B1677" s="23" t="n">
        <v>9.25</v>
      </c>
    </row>
    <row r="1678" customFormat="false" ht="15" hidden="false" customHeight="false" outlineLevel="0" collapsed="false">
      <c r="A1678" s="22" t="n">
        <v>45873</v>
      </c>
      <c r="B1678" s="23" t="n">
        <v>9.25</v>
      </c>
    </row>
    <row r="1679" customFormat="false" ht="15" hidden="false" customHeight="false" outlineLevel="0" collapsed="false">
      <c r="A1679" s="22" t="n">
        <v>45874</v>
      </c>
      <c r="B1679" s="23" t="n">
        <v>9.25</v>
      </c>
    </row>
    <row r="1680" customFormat="false" ht="15" hidden="false" customHeight="false" outlineLevel="0" collapsed="false">
      <c r="A1680" s="22" t="n">
        <v>45875</v>
      </c>
      <c r="B1680" s="23" t="n">
        <v>9.25</v>
      </c>
    </row>
    <row r="1681" customFormat="false" ht="15" hidden="false" customHeight="false" outlineLevel="0" collapsed="false">
      <c r="A1681" s="22" t="n">
        <v>45876</v>
      </c>
      <c r="B1681" s="23" t="n">
        <v>9.25</v>
      </c>
    </row>
    <row r="1682" customFormat="false" ht="15" hidden="false" customHeight="false" outlineLevel="0" collapsed="false">
      <c r="A1682" s="22" t="n">
        <v>45877</v>
      </c>
      <c r="B1682" s="23" t="n">
        <v>9.25</v>
      </c>
    </row>
    <row r="1683" customFormat="false" ht="15" hidden="false" customHeight="false" outlineLevel="0" collapsed="false">
      <c r="A1683" s="22" t="n">
        <v>45878</v>
      </c>
      <c r="B1683" s="23" t="n">
        <v>9.25</v>
      </c>
    </row>
    <row r="1684" customFormat="false" ht="15" hidden="false" customHeight="false" outlineLevel="0" collapsed="false">
      <c r="A1684" s="22" t="n">
        <v>45879</v>
      </c>
      <c r="B1684" s="23" t="n">
        <v>9.25</v>
      </c>
    </row>
    <row r="1685" customFormat="false" ht="15" hidden="false" customHeight="false" outlineLevel="0" collapsed="false">
      <c r="A1685" s="22" t="n">
        <v>45880</v>
      </c>
      <c r="B1685" s="23" t="n">
        <v>9.25</v>
      </c>
    </row>
    <row r="1686" customFormat="false" ht="15" hidden="false" customHeight="false" outlineLevel="0" collapsed="false">
      <c r="A1686" s="22" t="n">
        <v>45881</v>
      </c>
      <c r="B1686" s="23" t="n">
        <v>9.25</v>
      </c>
    </row>
    <row r="1687" customFormat="false" ht="15" hidden="false" customHeight="false" outlineLevel="0" collapsed="false">
      <c r="A1687" s="22" t="n">
        <v>45882</v>
      </c>
      <c r="B1687" s="23" t="n">
        <v>9.25</v>
      </c>
    </row>
    <row r="1688" customFormat="false" ht="15" hidden="false" customHeight="false" outlineLevel="0" collapsed="false">
      <c r="A1688" s="22" t="n">
        <v>45883</v>
      </c>
      <c r="B1688" s="23" t="n">
        <v>9.25</v>
      </c>
    </row>
    <row r="1689" customFormat="false" ht="15" hidden="false" customHeight="false" outlineLevel="0" collapsed="false">
      <c r="A1689" s="22" t="n">
        <v>45884</v>
      </c>
      <c r="B1689" s="23" t="n">
        <v>9.25</v>
      </c>
    </row>
    <row r="1690" customFormat="false" ht="15" hidden="false" customHeight="false" outlineLevel="0" collapsed="false">
      <c r="A1690" s="22" t="n">
        <v>45885</v>
      </c>
      <c r="B1690" s="23" t="n">
        <v>9.25</v>
      </c>
    </row>
    <row r="1691" customFormat="false" ht="15" hidden="false" customHeight="false" outlineLevel="0" collapsed="false">
      <c r="A1691" s="22" t="n">
        <v>45886</v>
      </c>
      <c r="B1691" s="23" t="n">
        <v>9.25</v>
      </c>
    </row>
    <row r="1692" customFormat="false" ht="15" hidden="false" customHeight="false" outlineLevel="0" collapsed="false">
      <c r="A1692" s="22" t="n">
        <v>45887</v>
      </c>
      <c r="B1692" s="23" t="n">
        <v>9.25</v>
      </c>
    </row>
    <row r="1693" customFormat="false" ht="15" hidden="false" customHeight="false" outlineLevel="0" collapsed="false">
      <c r="A1693" s="22" t="n">
        <v>45888</v>
      </c>
      <c r="B1693" s="23" t="n">
        <v>9.25</v>
      </c>
    </row>
    <row r="1694" customFormat="false" ht="15" hidden="false" customHeight="false" outlineLevel="0" collapsed="false">
      <c r="A1694" s="22" t="n">
        <v>45889</v>
      </c>
      <c r="B1694" s="23" t="n">
        <v>9.25</v>
      </c>
    </row>
    <row r="1695" customFormat="false" ht="15" hidden="false" customHeight="false" outlineLevel="0" collapsed="false">
      <c r="A1695" s="22" t="n">
        <v>45890</v>
      </c>
      <c r="B1695" s="23" t="n">
        <v>9.25</v>
      </c>
    </row>
    <row r="1696" customFormat="false" ht="15" hidden="false" customHeight="false" outlineLevel="0" collapsed="false">
      <c r="A1696" s="22" t="n">
        <v>45891</v>
      </c>
      <c r="B1696" s="23" t="n">
        <v>9.25</v>
      </c>
    </row>
    <row r="1697" customFormat="false" ht="15" hidden="false" customHeight="false" outlineLevel="0" collapsed="false">
      <c r="A1697" s="22" t="n">
        <v>45892</v>
      </c>
      <c r="B1697" s="23" t="n">
        <v>9.25</v>
      </c>
    </row>
    <row r="1698" customFormat="false" ht="15" hidden="false" customHeight="false" outlineLevel="0" collapsed="false">
      <c r="A1698" s="22" t="n">
        <v>45893</v>
      </c>
      <c r="B1698" s="23" t="n">
        <v>9.25</v>
      </c>
    </row>
    <row r="1699" customFormat="false" ht="15" hidden="false" customHeight="false" outlineLevel="0" collapsed="false">
      <c r="A1699" s="22" t="n">
        <v>45894</v>
      </c>
      <c r="B1699" s="23" t="n">
        <v>9.25</v>
      </c>
    </row>
    <row r="1700" customFormat="false" ht="15" hidden="false" customHeight="false" outlineLevel="0" collapsed="false">
      <c r="A1700" s="22" t="n">
        <v>45895</v>
      </c>
      <c r="B1700" s="23" t="n">
        <v>9.25</v>
      </c>
    </row>
    <row r="1701" customFormat="false" ht="15" hidden="false" customHeight="false" outlineLevel="0" collapsed="false">
      <c r="A1701" s="22" t="n">
        <v>45896</v>
      </c>
      <c r="B1701" s="23" t="n">
        <v>9.25</v>
      </c>
    </row>
    <row r="1702" customFormat="false" ht="15" hidden="false" customHeight="false" outlineLevel="0" collapsed="false">
      <c r="A1702" s="22" t="n">
        <v>45897</v>
      </c>
      <c r="B1702" s="23" t="n">
        <v>9.25</v>
      </c>
    </row>
    <row r="1703" customFormat="false" ht="15" hidden="false" customHeight="false" outlineLevel="0" collapsed="false">
      <c r="A1703" s="22" t="n">
        <v>45898</v>
      </c>
      <c r="B1703" s="23" t="n">
        <v>9.25</v>
      </c>
    </row>
    <row r="1704" customFormat="false" ht="15" hidden="false" customHeight="false" outlineLevel="0" collapsed="false">
      <c r="A1704" s="22" t="n">
        <v>45899</v>
      </c>
      <c r="B1704" s="23" t="n">
        <v>9.25</v>
      </c>
    </row>
    <row r="1705" customFormat="false" ht="15" hidden="false" customHeight="false" outlineLevel="0" collapsed="false">
      <c r="A1705" s="22" t="n">
        <v>45900</v>
      </c>
      <c r="B1705" s="23" t="n">
        <v>9.25</v>
      </c>
    </row>
    <row r="1706" customFormat="false" ht="15" hidden="false" customHeight="false" outlineLevel="0" collapsed="false">
      <c r="A1706" s="22" t="n">
        <v>45901</v>
      </c>
      <c r="B1706" s="23" t="n">
        <v>9.25</v>
      </c>
    </row>
    <row r="1707" customFormat="false" ht="15" hidden="false" customHeight="false" outlineLevel="0" collapsed="false">
      <c r="A1707" s="22" t="n">
        <v>45902</v>
      </c>
      <c r="B1707" s="23" t="n">
        <v>9.25</v>
      </c>
    </row>
    <row r="1708" customFormat="false" ht="15" hidden="false" customHeight="false" outlineLevel="0" collapsed="false">
      <c r="A1708" s="22" t="n">
        <v>45903</v>
      </c>
      <c r="B1708" s="23" t="n">
        <v>9.25</v>
      </c>
    </row>
    <row r="1709" customFormat="false" ht="15" hidden="false" customHeight="false" outlineLevel="0" collapsed="false">
      <c r="A1709" s="22" t="n">
        <v>45904</v>
      </c>
      <c r="B1709" s="23" t="n">
        <v>9.25</v>
      </c>
    </row>
    <row r="1710" customFormat="false" ht="15" hidden="false" customHeight="false" outlineLevel="0" collapsed="false">
      <c r="A1710" s="22" t="n">
        <v>45905</v>
      </c>
      <c r="B1710" s="23" t="n">
        <v>9.25</v>
      </c>
    </row>
    <row r="1711" customFormat="false" ht="15" hidden="false" customHeight="false" outlineLevel="0" collapsed="false">
      <c r="A1711" s="22" t="n">
        <v>45906</v>
      </c>
      <c r="B1711" s="23" t="n">
        <v>9.25</v>
      </c>
    </row>
    <row r="1712" customFormat="false" ht="15" hidden="false" customHeight="false" outlineLevel="0" collapsed="false">
      <c r="A1712" s="22" t="n">
        <v>45907</v>
      </c>
      <c r="B1712" s="23" t="n">
        <v>9.25</v>
      </c>
    </row>
    <row r="1713" customFormat="false" ht="15" hidden="false" customHeight="false" outlineLevel="0" collapsed="false">
      <c r="A1713" s="22" t="n">
        <v>45908</v>
      </c>
      <c r="B1713" s="23" t="n">
        <v>9.25</v>
      </c>
    </row>
    <row r="1714" customFormat="false" ht="15" hidden="false" customHeight="false" outlineLevel="0" collapsed="false">
      <c r="A1714" s="22" t="n">
        <v>45909</v>
      </c>
      <c r="B1714" s="23" t="n">
        <v>9.25</v>
      </c>
    </row>
    <row r="1715" customFormat="false" ht="15" hidden="false" customHeight="false" outlineLevel="0" collapsed="false">
      <c r="A1715" s="22" t="n">
        <v>45910</v>
      </c>
      <c r="B1715" s="23" t="n">
        <v>9.25</v>
      </c>
    </row>
    <row r="1716" customFormat="false" ht="15" hidden="false" customHeight="false" outlineLevel="0" collapsed="false">
      <c r="A1716" s="22" t="n">
        <v>45911</v>
      </c>
      <c r="B1716" s="23" t="n">
        <v>9.25</v>
      </c>
    </row>
    <row r="1717" customFormat="false" ht="15" hidden="false" customHeight="false" outlineLevel="0" collapsed="false">
      <c r="A1717" s="22" t="n">
        <v>45912</v>
      </c>
      <c r="B1717" s="23" t="n">
        <v>9.25</v>
      </c>
    </row>
    <row r="1718" customFormat="false" ht="15" hidden="false" customHeight="false" outlineLevel="0" collapsed="false">
      <c r="A1718" s="22" t="n">
        <v>45913</v>
      </c>
      <c r="B1718" s="23" t="n">
        <v>9.25</v>
      </c>
    </row>
    <row r="1719" customFormat="false" ht="15" hidden="false" customHeight="false" outlineLevel="0" collapsed="false">
      <c r="A1719" s="22" t="n">
        <v>45914</v>
      </c>
      <c r="B1719" s="23" t="n">
        <v>9.25</v>
      </c>
    </row>
    <row r="1720" customFormat="false" ht="15" hidden="false" customHeight="false" outlineLevel="0" collapsed="false">
      <c r="A1720" s="22" t="n">
        <v>45915</v>
      </c>
      <c r="B1720" s="23" t="n">
        <v>9.25</v>
      </c>
    </row>
    <row r="1721" customFormat="false" ht="15" hidden="false" customHeight="false" outlineLevel="0" collapsed="false">
      <c r="A1721" s="22" t="n">
        <v>45916</v>
      </c>
      <c r="B1721" s="23" t="n">
        <v>9.25</v>
      </c>
    </row>
    <row r="1722" customFormat="false" ht="15" hidden="false" customHeight="false" outlineLevel="0" collapsed="false">
      <c r="A1722" s="22" t="n">
        <v>45917</v>
      </c>
      <c r="B1722" s="23" t="n">
        <v>9.25</v>
      </c>
    </row>
    <row r="1723" customFormat="false" ht="15" hidden="false" customHeight="false" outlineLevel="0" collapsed="false">
      <c r="A1723" s="22" t="n">
        <v>45918</v>
      </c>
      <c r="B1723" s="23" t="n">
        <v>9.25</v>
      </c>
    </row>
    <row r="1724" customFormat="false" ht="15" hidden="false" customHeight="false" outlineLevel="0" collapsed="false">
      <c r="A1724" s="22" t="n">
        <v>45919</v>
      </c>
      <c r="B1724" s="23" t="n">
        <v>9.25</v>
      </c>
    </row>
    <row r="1725" customFormat="false" ht="15" hidden="false" customHeight="false" outlineLevel="0" collapsed="false">
      <c r="A1725" s="22" t="n">
        <v>45920</v>
      </c>
      <c r="B1725" s="23" t="n">
        <v>9.25</v>
      </c>
    </row>
    <row r="1726" customFormat="false" ht="15" hidden="false" customHeight="false" outlineLevel="0" collapsed="false">
      <c r="A1726" s="22" t="n">
        <v>45921</v>
      </c>
      <c r="B1726" s="23" t="n">
        <v>9.25</v>
      </c>
    </row>
    <row r="1727" customFormat="false" ht="15" hidden="false" customHeight="false" outlineLevel="0" collapsed="false">
      <c r="A1727" s="22" t="n">
        <v>45922</v>
      </c>
      <c r="B1727" s="23" t="n">
        <v>9.25</v>
      </c>
    </row>
    <row r="1728" customFormat="false" ht="15" hidden="false" customHeight="false" outlineLevel="0" collapsed="false">
      <c r="A1728" s="22" t="n">
        <v>45923</v>
      </c>
      <c r="B1728" s="23" t="n">
        <v>9.25</v>
      </c>
    </row>
    <row r="1729" customFormat="false" ht="15" hidden="false" customHeight="false" outlineLevel="0" collapsed="false">
      <c r="A1729" s="22" t="n">
        <v>45924</v>
      </c>
      <c r="B1729" s="23" t="n">
        <v>9.25</v>
      </c>
    </row>
    <row r="1730" customFormat="false" ht="15" hidden="false" customHeight="false" outlineLevel="0" collapsed="false">
      <c r="A1730" s="22" t="n">
        <v>45925</v>
      </c>
      <c r="B1730" s="23" t="n">
        <v>9.25</v>
      </c>
    </row>
    <row r="1731" customFormat="false" ht="15" hidden="false" customHeight="false" outlineLevel="0" collapsed="false">
      <c r="A1731" s="22" t="n">
        <v>45926</v>
      </c>
      <c r="B1731" s="23" t="n">
        <v>9.25</v>
      </c>
    </row>
    <row r="1732" customFormat="false" ht="15" hidden="false" customHeight="false" outlineLevel="0" collapsed="false">
      <c r="A1732" s="22" t="n">
        <v>45927</v>
      </c>
      <c r="B1732" s="23" t="n">
        <v>9.25</v>
      </c>
    </row>
    <row r="1733" customFormat="false" ht="15" hidden="false" customHeight="false" outlineLevel="0" collapsed="false">
      <c r="A1733" s="22" t="n">
        <v>45928</v>
      </c>
      <c r="B1733" s="23" t="n">
        <v>9.25</v>
      </c>
    </row>
    <row r="1734" customFormat="false" ht="15" hidden="false" customHeight="false" outlineLevel="0" collapsed="false">
      <c r="A1734" s="22" t="n">
        <v>45929</v>
      </c>
      <c r="B1734" s="23" t="n">
        <v>9.25</v>
      </c>
    </row>
    <row r="1735" customFormat="false" ht="15" hidden="false" customHeight="false" outlineLevel="0" collapsed="false">
      <c r="A1735" s="22" t="n">
        <v>45930</v>
      </c>
      <c r="B1735" s="23" t="n">
        <v>9.25</v>
      </c>
    </row>
    <row r="1736" customFormat="false" ht="15" hidden="false" customHeight="false" outlineLevel="0" collapsed="false">
      <c r="A1736" s="22" t="n">
        <v>45931</v>
      </c>
      <c r="B1736" s="23" t="n">
        <v>9.25</v>
      </c>
    </row>
    <row r="1737" customFormat="false" ht="15" hidden="false" customHeight="false" outlineLevel="0" collapsed="false">
      <c r="A1737" s="22" t="n">
        <v>45932</v>
      </c>
      <c r="B1737" s="23" t="n">
        <v>9.25</v>
      </c>
    </row>
    <row r="1738" customFormat="false" ht="15" hidden="false" customHeight="false" outlineLevel="0" collapsed="false">
      <c r="A1738" s="22" t="n">
        <v>45933</v>
      </c>
      <c r="B1738" s="23" t="n">
        <v>9.25</v>
      </c>
    </row>
    <row r="1739" customFormat="false" ht="15" hidden="false" customHeight="false" outlineLevel="0" collapsed="false">
      <c r="A1739" s="22" t="n">
        <v>45934</v>
      </c>
      <c r="B1739" s="23" t="n">
        <v>9.25</v>
      </c>
    </row>
    <row r="1740" customFormat="false" ht="15" hidden="false" customHeight="false" outlineLevel="0" collapsed="false">
      <c r="A1740" s="22" t="n">
        <v>45935</v>
      </c>
      <c r="B1740" s="23" t="n">
        <v>9.25</v>
      </c>
    </row>
    <row r="1741" customFormat="false" ht="15" hidden="false" customHeight="false" outlineLevel="0" collapsed="false">
      <c r="A1741" s="22" t="n">
        <v>45936</v>
      </c>
      <c r="B1741" s="23" t="n">
        <v>9.25</v>
      </c>
    </row>
    <row r="1742" customFormat="false" ht="15" hidden="false" customHeight="false" outlineLevel="0" collapsed="false">
      <c r="A1742" s="22" t="n">
        <v>45937</v>
      </c>
      <c r="B1742" s="23" t="n">
        <v>9.25</v>
      </c>
    </row>
    <row r="1743" customFormat="false" ht="15" hidden="false" customHeight="false" outlineLevel="0" collapsed="false">
      <c r="A1743" s="22" t="n">
        <v>45938</v>
      </c>
      <c r="B1743" s="23" t="n">
        <v>9.25</v>
      </c>
    </row>
    <row r="1744" customFormat="false" ht="15" hidden="false" customHeight="false" outlineLevel="0" collapsed="false">
      <c r="A1744" s="22" t="n">
        <v>45939</v>
      </c>
      <c r="B1744" s="23" t="n">
        <v>9.25</v>
      </c>
    </row>
    <row r="1745" customFormat="false" ht="15" hidden="false" customHeight="false" outlineLevel="0" collapsed="false">
      <c r="A1745" s="22" t="n">
        <v>45940</v>
      </c>
      <c r="B1745" s="23" t="n">
        <v>9.25</v>
      </c>
    </row>
    <row r="1746" customFormat="false" ht="15" hidden="false" customHeight="false" outlineLevel="0" collapsed="false">
      <c r="A1746" s="22" t="n">
        <v>45941</v>
      </c>
      <c r="B1746" s="23" t="n">
        <v>9.25</v>
      </c>
    </row>
    <row r="1747" customFormat="false" ht="15" hidden="false" customHeight="false" outlineLevel="0" collapsed="false">
      <c r="A1747" s="22" t="n">
        <v>45942</v>
      </c>
      <c r="B1747" s="23" t="n">
        <v>9.25</v>
      </c>
    </row>
    <row r="1748" customFormat="false" ht="15" hidden="false" customHeight="false" outlineLevel="0" collapsed="false">
      <c r="A1748" s="22" t="n">
        <v>45943</v>
      </c>
      <c r="B1748" s="23" t="n">
        <v>9.25</v>
      </c>
    </row>
    <row r="1749" customFormat="false" ht="15" hidden="false" customHeight="false" outlineLevel="0" collapsed="false">
      <c r="A1749" s="22" t="n">
        <v>45944</v>
      </c>
      <c r="B1749" s="23" t="n">
        <v>9.25</v>
      </c>
    </row>
    <row r="1750" customFormat="false" ht="15" hidden="false" customHeight="false" outlineLevel="0" collapsed="false">
      <c r="A1750" s="22" t="n">
        <v>45945</v>
      </c>
      <c r="B1750" s="23" t="n">
        <v>9.25</v>
      </c>
    </row>
    <row r="1751" customFormat="false" ht="15" hidden="false" customHeight="false" outlineLevel="0" collapsed="false">
      <c r="A1751" s="22" t="n">
        <v>45946</v>
      </c>
      <c r="B1751" s="23" t="n">
        <v>9.25</v>
      </c>
    </row>
    <row r="1752" customFormat="false" ht="15" hidden="false" customHeight="false" outlineLevel="0" collapsed="false">
      <c r="A1752" s="22" t="n">
        <v>45947</v>
      </c>
      <c r="B1752" s="23" t="n">
        <v>9.25</v>
      </c>
    </row>
    <row r="1753" customFormat="false" ht="15" hidden="false" customHeight="false" outlineLevel="0" collapsed="false">
      <c r="A1753" s="22" t="n">
        <v>45948</v>
      </c>
      <c r="B1753" s="23" t="n">
        <v>9.25</v>
      </c>
    </row>
    <row r="1754" customFormat="false" ht="15" hidden="false" customHeight="false" outlineLevel="0" collapsed="false">
      <c r="A1754" s="22" t="n">
        <v>45949</v>
      </c>
      <c r="B1754" s="23" t="n">
        <v>9.25</v>
      </c>
    </row>
    <row r="1755" customFormat="false" ht="15" hidden="false" customHeight="false" outlineLevel="0" collapsed="false">
      <c r="A1755" s="22" t="n">
        <v>45950</v>
      </c>
      <c r="B1755" s="23" t="n">
        <v>9.25</v>
      </c>
    </row>
    <row r="1756" customFormat="false" ht="15" hidden="false" customHeight="false" outlineLevel="0" collapsed="false">
      <c r="A1756" s="22" t="n">
        <v>45951</v>
      </c>
      <c r="B1756" s="23" t="n">
        <v>9.25</v>
      </c>
    </row>
    <row r="1757" customFormat="false" ht="15" hidden="false" customHeight="false" outlineLevel="0" collapsed="false">
      <c r="A1757" s="22" t="n">
        <v>45952</v>
      </c>
      <c r="B1757" s="23" t="n">
        <v>9.25</v>
      </c>
    </row>
    <row r="1758" customFormat="false" ht="15" hidden="false" customHeight="false" outlineLevel="0" collapsed="false">
      <c r="A1758" s="22" t="n">
        <v>45953</v>
      </c>
      <c r="B1758" s="23" t="n">
        <v>9.25</v>
      </c>
    </row>
    <row r="1759" customFormat="false" ht="15" hidden="false" customHeight="false" outlineLevel="0" collapsed="false">
      <c r="A1759" s="22" t="n">
        <v>45954</v>
      </c>
      <c r="B1759" s="23" t="n">
        <v>9.25</v>
      </c>
    </row>
    <row r="1760" customFormat="false" ht="15" hidden="false" customHeight="false" outlineLevel="0" collapsed="false">
      <c r="A1760" s="22" t="n">
        <v>45955</v>
      </c>
      <c r="B1760" s="23" t="n">
        <v>9.25</v>
      </c>
    </row>
    <row r="1761" customFormat="false" ht="15" hidden="false" customHeight="false" outlineLevel="0" collapsed="false">
      <c r="A1761" s="22" t="n">
        <v>45956</v>
      </c>
      <c r="B1761" s="23" t="n">
        <v>9.25</v>
      </c>
    </row>
    <row r="1762" customFormat="false" ht="15" hidden="false" customHeight="false" outlineLevel="0" collapsed="false">
      <c r="A1762" s="22" t="n">
        <v>45957</v>
      </c>
      <c r="B1762" s="23" t="n">
        <v>9.25</v>
      </c>
    </row>
    <row r="1763" customFormat="false" ht="15" hidden="false" customHeight="false" outlineLevel="0" collapsed="false">
      <c r="A1763" s="22" t="n">
        <v>45958</v>
      </c>
      <c r="B1763" s="23" t="n">
        <v>9.25</v>
      </c>
    </row>
    <row r="1764" customFormat="false" ht="15" hidden="false" customHeight="false" outlineLevel="0" collapsed="false">
      <c r="A1764" s="22" t="n">
        <v>45959</v>
      </c>
      <c r="B1764" s="23" t="n">
        <v>9.25</v>
      </c>
    </row>
    <row r="1765" customFormat="false" ht="15" hidden="false" customHeight="false" outlineLevel="0" collapsed="false">
      <c r="A1765" s="22" t="n">
        <v>45960</v>
      </c>
      <c r="B1765" s="23" t="n">
        <v>9.25</v>
      </c>
    </row>
    <row r="1766" customFormat="false" ht="15" hidden="false" customHeight="false" outlineLevel="0" collapsed="false">
      <c r="A1766" s="22" t="n">
        <v>45961</v>
      </c>
      <c r="B1766" s="23" t="n">
        <v>9.25</v>
      </c>
    </row>
    <row r="1767" customFormat="false" ht="15" hidden="false" customHeight="false" outlineLevel="0" collapsed="false">
      <c r="A1767" s="22" t="n">
        <v>45962</v>
      </c>
      <c r="B1767" s="23" t="n">
        <v>9.25</v>
      </c>
    </row>
    <row r="1768" customFormat="false" ht="15" hidden="false" customHeight="false" outlineLevel="0" collapsed="false">
      <c r="A1768" s="22" t="n">
        <v>45963</v>
      </c>
      <c r="B1768" s="23" t="n">
        <v>9.25</v>
      </c>
    </row>
    <row r="1769" customFormat="false" ht="15" hidden="false" customHeight="false" outlineLevel="0" collapsed="false">
      <c r="A1769" s="22" t="n">
        <v>45964</v>
      </c>
      <c r="B1769" s="23" t="n">
        <v>9.25</v>
      </c>
    </row>
    <row r="1770" customFormat="false" ht="15" hidden="false" customHeight="false" outlineLevel="0" collapsed="false">
      <c r="A1770" s="22" t="n">
        <v>45965</v>
      </c>
      <c r="B1770" s="23" t="n">
        <v>9.25</v>
      </c>
    </row>
    <row r="1771" customFormat="false" ht="15" hidden="false" customHeight="false" outlineLevel="0" collapsed="false">
      <c r="A1771" s="22" t="n">
        <v>45966</v>
      </c>
      <c r="B1771" s="23" t="n">
        <v>9.25</v>
      </c>
    </row>
    <row r="1772" customFormat="false" ht="15" hidden="false" customHeight="false" outlineLevel="0" collapsed="false">
      <c r="A1772" s="22" t="n">
        <v>45967</v>
      </c>
      <c r="B1772" s="23" t="n">
        <v>9.25</v>
      </c>
    </row>
    <row r="1773" customFormat="false" ht="15" hidden="false" customHeight="false" outlineLevel="0" collapsed="false">
      <c r="A1773" s="22" t="n">
        <v>45968</v>
      </c>
      <c r="B1773" s="23" t="n">
        <v>9.25</v>
      </c>
    </row>
    <row r="1774" customFormat="false" ht="15" hidden="false" customHeight="false" outlineLevel="0" collapsed="false">
      <c r="A1774" s="22" t="n">
        <v>45969</v>
      </c>
      <c r="B1774" s="23" t="n">
        <v>9.25</v>
      </c>
    </row>
    <row r="1775" customFormat="false" ht="15" hidden="false" customHeight="false" outlineLevel="0" collapsed="false">
      <c r="A1775" s="22" t="n">
        <v>45970</v>
      </c>
      <c r="B1775" s="23" t="n">
        <v>9.25</v>
      </c>
    </row>
    <row r="1776" customFormat="false" ht="15" hidden="false" customHeight="false" outlineLevel="0" collapsed="false">
      <c r="A1776" s="22" t="n">
        <v>45971</v>
      </c>
      <c r="B1776" s="23" t="n">
        <v>9.25</v>
      </c>
    </row>
    <row r="1777" customFormat="false" ht="15" hidden="false" customHeight="false" outlineLevel="0" collapsed="false">
      <c r="A1777" s="22" t="n">
        <v>45972</v>
      </c>
      <c r="B1777" s="23" t="n">
        <v>9.25</v>
      </c>
    </row>
    <row r="1778" customFormat="false" ht="15" hidden="false" customHeight="false" outlineLevel="0" collapsed="false">
      <c r="A1778" s="22" t="n">
        <v>45973</v>
      </c>
      <c r="B1778" s="23" t="n">
        <v>9.25</v>
      </c>
    </row>
    <row r="1779" customFormat="false" ht="15" hidden="false" customHeight="false" outlineLevel="0" collapsed="false">
      <c r="A1779" s="22" t="n">
        <v>45974</v>
      </c>
      <c r="B1779" s="23" t="n">
        <v>9.25</v>
      </c>
    </row>
    <row r="1780" customFormat="false" ht="15" hidden="false" customHeight="false" outlineLevel="0" collapsed="false">
      <c r="A1780" s="22" t="n">
        <v>45975</v>
      </c>
      <c r="B1780" s="23" t="n">
        <v>9.25</v>
      </c>
    </row>
    <row r="1781" customFormat="false" ht="15" hidden="false" customHeight="false" outlineLevel="0" collapsed="false">
      <c r="A1781" s="22" t="n">
        <v>45976</v>
      </c>
      <c r="B1781" s="23" t="n">
        <v>9.25</v>
      </c>
    </row>
    <row r="1782" customFormat="false" ht="15" hidden="false" customHeight="false" outlineLevel="0" collapsed="false">
      <c r="A1782" s="22" t="n">
        <v>45977</v>
      </c>
      <c r="B1782" s="23" t="n">
        <v>9.25</v>
      </c>
    </row>
    <row r="1783" customFormat="false" ht="15" hidden="false" customHeight="false" outlineLevel="0" collapsed="false">
      <c r="A1783" s="22" t="n">
        <v>45978</v>
      </c>
      <c r="B1783" s="23" t="n">
        <v>9.25</v>
      </c>
    </row>
    <row r="1784" customFormat="false" ht="15" hidden="false" customHeight="false" outlineLevel="0" collapsed="false">
      <c r="A1784" s="22" t="n">
        <v>45979</v>
      </c>
      <c r="B1784" s="23" t="n">
        <v>9.25</v>
      </c>
    </row>
    <row r="1785" customFormat="false" ht="15" hidden="false" customHeight="false" outlineLevel="0" collapsed="false">
      <c r="A1785" s="22" t="n">
        <v>45980</v>
      </c>
      <c r="B1785" s="23" t="n">
        <v>9.25</v>
      </c>
    </row>
    <row r="1786" customFormat="false" ht="15" hidden="false" customHeight="false" outlineLevel="0" collapsed="false">
      <c r="A1786" s="22" t="n">
        <v>45981</v>
      </c>
      <c r="B1786" s="23" t="n">
        <v>9.25</v>
      </c>
    </row>
    <row r="1787" customFormat="false" ht="15" hidden="false" customHeight="false" outlineLevel="0" collapsed="false">
      <c r="A1787" s="22" t="n">
        <v>45982</v>
      </c>
      <c r="B1787" s="23" t="n">
        <v>9.25</v>
      </c>
    </row>
    <row r="1788" customFormat="false" ht="15" hidden="false" customHeight="false" outlineLevel="0" collapsed="false">
      <c r="A1788" s="22" t="n">
        <v>45983</v>
      </c>
      <c r="B1788" s="23" t="n">
        <v>9.25</v>
      </c>
    </row>
    <row r="1789" customFormat="false" ht="15" hidden="false" customHeight="false" outlineLevel="0" collapsed="false">
      <c r="A1789" s="22" t="n">
        <v>45984</v>
      </c>
      <c r="B1789" s="23" t="n">
        <v>9.25</v>
      </c>
    </row>
    <row r="1790" customFormat="false" ht="15" hidden="false" customHeight="false" outlineLevel="0" collapsed="false">
      <c r="A1790" s="22" t="n">
        <v>45985</v>
      </c>
      <c r="B1790" s="23" t="n">
        <v>9.25</v>
      </c>
    </row>
    <row r="1791" customFormat="false" ht="15" hidden="false" customHeight="false" outlineLevel="0" collapsed="false">
      <c r="A1791" s="22" t="n">
        <v>45986</v>
      </c>
      <c r="B1791" s="23" t="n">
        <v>9.25</v>
      </c>
    </row>
    <row r="1792" customFormat="false" ht="15" hidden="false" customHeight="false" outlineLevel="0" collapsed="false">
      <c r="A1792" s="22" t="n">
        <v>45987</v>
      </c>
      <c r="B1792" s="23" t="n">
        <v>9.25</v>
      </c>
    </row>
    <row r="1793" customFormat="false" ht="15" hidden="false" customHeight="false" outlineLevel="0" collapsed="false">
      <c r="A1793" s="22" t="n">
        <v>45988</v>
      </c>
      <c r="B1793" s="23" t="n">
        <v>9.25</v>
      </c>
    </row>
    <row r="1794" customFormat="false" ht="15" hidden="false" customHeight="false" outlineLevel="0" collapsed="false">
      <c r="A1794" s="22" t="n">
        <v>45989</v>
      </c>
      <c r="B1794" s="23" t="n">
        <v>9.25</v>
      </c>
    </row>
    <row r="1795" customFormat="false" ht="15" hidden="false" customHeight="false" outlineLevel="0" collapsed="false">
      <c r="A1795" s="22" t="n">
        <v>45990</v>
      </c>
      <c r="B1795" s="23" t="n">
        <v>9.25</v>
      </c>
    </row>
    <row r="1796" customFormat="false" ht="15" hidden="false" customHeight="false" outlineLevel="0" collapsed="false">
      <c r="A1796" s="22" t="n">
        <v>45991</v>
      </c>
      <c r="B1796" s="23" t="n">
        <v>9.25</v>
      </c>
    </row>
    <row r="1797" customFormat="false" ht="15" hidden="false" customHeight="false" outlineLevel="0" collapsed="false">
      <c r="A1797" s="22" t="n">
        <v>45992</v>
      </c>
      <c r="B1797" s="23" t="n">
        <v>9.25</v>
      </c>
    </row>
    <row r="1798" customFormat="false" ht="15" hidden="false" customHeight="false" outlineLevel="0" collapsed="false">
      <c r="A1798" s="22" t="n">
        <v>45993</v>
      </c>
      <c r="B1798" s="23" t="n">
        <v>9.25</v>
      </c>
    </row>
    <row r="1799" customFormat="false" ht="15" hidden="false" customHeight="false" outlineLevel="0" collapsed="false">
      <c r="A1799" s="22" t="n">
        <v>45994</v>
      </c>
      <c r="B1799" s="23" t="n">
        <v>9.25</v>
      </c>
    </row>
    <row r="1800" customFormat="false" ht="15" hidden="false" customHeight="false" outlineLevel="0" collapsed="false">
      <c r="A1800" s="22" t="n">
        <v>45995</v>
      </c>
      <c r="B1800" s="23" t="n">
        <v>9.25</v>
      </c>
    </row>
    <row r="1801" customFormat="false" ht="15" hidden="false" customHeight="false" outlineLevel="0" collapsed="false">
      <c r="A1801" s="22" t="n">
        <v>45996</v>
      </c>
      <c r="B1801" s="23" t="n">
        <v>9.25</v>
      </c>
    </row>
    <row r="1802" customFormat="false" ht="15" hidden="false" customHeight="false" outlineLevel="0" collapsed="false">
      <c r="A1802" s="22" t="n">
        <v>45997</v>
      </c>
      <c r="B1802" s="23" t="n">
        <v>9.25</v>
      </c>
    </row>
    <row r="1803" customFormat="false" ht="15" hidden="false" customHeight="false" outlineLevel="0" collapsed="false">
      <c r="A1803" s="22" t="n">
        <v>45998</v>
      </c>
      <c r="B1803" s="23" t="n">
        <v>9.25</v>
      </c>
    </row>
    <row r="1804" customFormat="false" ht="15" hidden="false" customHeight="false" outlineLevel="0" collapsed="false">
      <c r="A1804" s="22" t="n">
        <v>45999</v>
      </c>
      <c r="B1804" s="23" t="n">
        <v>9.25</v>
      </c>
    </row>
    <row r="1805" customFormat="false" ht="15" hidden="false" customHeight="false" outlineLevel="0" collapsed="false">
      <c r="A1805" s="22" t="n">
        <v>46000</v>
      </c>
      <c r="B1805" s="23" t="n">
        <v>9.25</v>
      </c>
    </row>
    <row r="1806" customFormat="false" ht="15" hidden="false" customHeight="false" outlineLevel="0" collapsed="false">
      <c r="A1806" s="22" t="n">
        <v>46001</v>
      </c>
      <c r="B1806" s="23" t="n">
        <v>9.25</v>
      </c>
    </row>
    <row r="1807" customFormat="false" ht="15" hidden="false" customHeight="false" outlineLevel="0" collapsed="false">
      <c r="A1807" s="22" t="n">
        <v>46002</v>
      </c>
      <c r="B1807" s="23" t="n">
        <v>9.25</v>
      </c>
    </row>
    <row r="1808" customFormat="false" ht="15" hidden="false" customHeight="false" outlineLevel="0" collapsed="false">
      <c r="A1808" s="22" t="n">
        <v>46003</v>
      </c>
      <c r="B1808" s="23" t="n">
        <v>9.25</v>
      </c>
    </row>
    <row r="1809" customFormat="false" ht="15" hidden="false" customHeight="false" outlineLevel="0" collapsed="false">
      <c r="A1809" s="22" t="n">
        <v>46004</v>
      </c>
      <c r="B1809" s="23" t="n">
        <v>9.25</v>
      </c>
    </row>
    <row r="1810" customFormat="false" ht="15" hidden="false" customHeight="false" outlineLevel="0" collapsed="false">
      <c r="A1810" s="22" t="n">
        <v>46005</v>
      </c>
      <c r="B1810" s="23" t="n">
        <v>9.25</v>
      </c>
    </row>
    <row r="1811" customFormat="false" ht="15" hidden="false" customHeight="false" outlineLevel="0" collapsed="false">
      <c r="A1811" s="22" t="n">
        <v>46006</v>
      </c>
      <c r="B1811" s="23" t="n">
        <v>9.25</v>
      </c>
    </row>
    <row r="1812" customFormat="false" ht="15" hidden="false" customHeight="false" outlineLevel="0" collapsed="false">
      <c r="A1812" s="22" t="n">
        <v>46007</v>
      </c>
      <c r="B1812" s="23" t="n">
        <v>9.25</v>
      </c>
    </row>
    <row r="1813" customFormat="false" ht="15" hidden="false" customHeight="false" outlineLevel="0" collapsed="false">
      <c r="A1813" s="22" t="n">
        <v>46008</v>
      </c>
      <c r="B1813" s="23" t="n">
        <v>9.25</v>
      </c>
    </row>
    <row r="1814" customFormat="false" ht="15" hidden="false" customHeight="false" outlineLevel="0" collapsed="false">
      <c r="A1814" s="22" t="n">
        <v>46009</v>
      </c>
      <c r="B1814" s="23" t="n">
        <v>9.25</v>
      </c>
    </row>
    <row r="1815" customFormat="false" ht="15" hidden="false" customHeight="false" outlineLevel="0" collapsed="false">
      <c r="A1815" s="22" t="n">
        <v>46010</v>
      </c>
      <c r="B1815" s="23" t="n">
        <v>9.25</v>
      </c>
    </row>
    <row r="1816" customFormat="false" ht="15" hidden="false" customHeight="false" outlineLevel="0" collapsed="false">
      <c r="A1816" s="22" t="n">
        <v>46011</v>
      </c>
      <c r="B1816" s="23" t="n">
        <v>9.25</v>
      </c>
    </row>
    <row r="1817" customFormat="false" ht="15" hidden="false" customHeight="false" outlineLevel="0" collapsed="false">
      <c r="A1817" s="22" t="n">
        <v>46012</v>
      </c>
      <c r="B1817" s="23" t="n">
        <v>9.25</v>
      </c>
    </row>
    <row r="1818" customFormat="false" ht="15" hidden="false" customHeight="false" outlineLevel="0" collapsed="false">
      <c r="A1818" s="22" t="n">
        <v>46013</v>
      </c>
      <c r="B1818" s="23" t="n">
        <v>9.25</v>
      </c>
    </row>
    <row r="1819" customFormat="false" ht="15" hidden="false" customHeight="false" outlineLevel="0" collapsed="false">
      <c r="A1819" s="22" t="n">
        <v>46014</v>
      </c>
      <c r="B1819" s="23" t="n">
        <v>9.25</v>
      </c>
    </row>
    <row r="1820" customFormat="false" ht="15" hidden="false" customHeight="false" outlineLevel="0" collapsed="false">
      <c r="A1820" s="22" t="n">
        <v>46015</v>
      </c>
      <c r="B1820" s="23" t="n">
        <v>9.25</v>
      </c>
    </row>
    <row r="1821" customFormat="false" ht="15" hidden="false" customHeight="false" outlineLevel="0" collapsed="false">
      <c r="A1821" s="22" t="n">
        <v>46016</v>
      </c>
      <c r="B1821" s="23" t="n">
        <v>9.25</v>
      </c>
    </row>
    <row r="1822" customFormat="false" ht="15" hidden="false" customHeight="false" outlineLevel="0" collapsed="false">
      <c r="A1822" s="22" t="n">
        <v>46017</v>
      </c>
      <c r="B1822" s="23" t="n">
        <v>9.25</v>
      </c>
    </row>
    <row r="1823" customFormat="false" ht="15" hidden="false" customHeight="false" outlineLevel="0" collapsed="false">
      <c r="A1823" s="22" t="n">
        <v>46018</v>
      </c>
      <c r="B1823" s="23" t="n">
        <v>9.25</v>
      </c>
    </row>
    <row r="1824" customFormat="false" ht="15" hidden="false" customHeight="false" outlineLevel="0" collapsed="false">
      <c r="A1824" s="22" t="n">
        <v>46019</v>
      </c>
      <c r="B1824" s="23" t="n">
        <v>9.25</v>
      </c>
    </row>
    <row r="1825" customFormat="false" ht="15" hidden="false" customHeight="false" outlineLevel="0" collapsed="false">
      <c r="A1825" s="22" t="n">
        <v>46020</v>
      </c>
      <c r="B1825" s="23" t="n">
        <v>9.25</v>
      </c>
    </row>
    <row r="1826" customFormat="false" ht="15" hidden="false" customHeight="false" outlineLevel="0" collapsed="false">
      <c r="A1826" s="22" t="n">
        <v>46021</v>
      </c>
      <c r="B1826" s="23" t="n">
        <v>9.25</v>
      </c>
    </row>
    <row r="1827" customFormat="false" ht="15" hidden="false" customHeight="false" outlineLevel="0" collapsed="false">
      <c r="A1827" s="22" t="n">
        <v>46022</v>
      </c>
      <c r="B1827" s="23" t="n">
        <v>9.25</v>
      </c>
    </row>
    <row r="1828" customFormat="false" ht="15" hidden="false" customHeight="false" outlineLevel="0" collapsed="false">
      <c r="A1828" s="22" t="n">
        <v>46023</v>
      </c>
      <c r="B1828" s="23" t="n">
        <v>9.25</v>
      </c>
    </row>
    <row r="1829" customFormat="false" ht="15" hidden="false" customHeight="false" outlineLevel="0" collapsed="false">
      <c r="A1829" s="22" t="n">
        <v>46024</v>
      </c>
      <c r="B1829" s="23" t="n">
        <v>9.25</v>
      </c>
    </row>
    <row r="1830" customFormat="false" ht="15" hidden="false" customHeight="false" outlineLevel="0" collapsed="false">
      <c r="A1830" s="22" t="n">
        <v>46025</v>
      </c>
      <c r="B1830" s="23" t="n">
        <v>9.25</v>
      </c>
    </row>
    <row r="1831" customFormat="false" ht="15" hidden="false" customHeight="false" outlineLevel="0" collapsed="false">
      <c r="A1831" s="22" t="n">
        <v>46026</v>
      </c>
      <c r="B1831" s="23" t="n">
        <v>9.25</v>
      </c>
    </row>
    <row r="1832" customFormat="false" ht="15" hidden="false" customHeight="false" outlineLevel="0" collapsed="false">
      <c r="A1832" s="22" t="n">
        <v>46027</v>
      </c>
      <c r="B1832" s="23" t="n">
        <v>9.25</v>
      </c>
    </row>
    <row r="1833" customFormat="false" ht="15" hidden="false" customHeight="false" outlineLevel="0" collapsed="false">
      <c r="A1833" s="22" t="n">
        <v>46028</v>
      </c>
      <c r="B1833" s="23" t="n">
        <v>9.25</v>
      </c>
    </row>
    <row r="1834" customFormat="false" ht="15" hidden="false" customHeight="false" outlineLevel="0" collapsed="false">
      <c r="A1834" s="22" t="n">
        <v>46029</v>
      </c>
      <c r="B1834" s="23" t="n">
        <v>9.25</v>
      </c>
    </row>
    <row r="1835" customFormat="false" ht="15" hidden="false" customHeight="false" outlineLevel="0" collapsed="false">
      <c r="A1835" s="22" t="n">
        <v>46030</v>
      </c>
      <c r="B1835" s="23" t="n">
        <v>9.25</v>
      </c>
    </row>
    <row r="1836" customFormat="false" ht="15" hidden="false" customHeight="false" outlineLevel="0" collapsed="false">
      <c r="A1836" s="22" t="n">
        <v>46031</v>
      </c>
      <c r="B1836" s="23" t="n">
        <v>9.25</v>
      </c>
    </row>
    <row r="1837" customFormat="false" ht="15" hidden="false" customHeight="false" outlineLevel="0" collapsed="false">
      <c r="A1837" s="22" t="n">
        <v>46032</v>
      </c>
      <c r="B1837" s="23" t="n">
        <v>9.25</v>
      </c>
    </row>
    <row r="1838" customFormat="false" ht="15" hidden="false" customHeight="false" outlineLevel="0" collapsed="false">
      <c r="A1838" s="22" t="n">
        <v>46033</v>
      </c>
      <c r="B1838" s="23" t="n">
        <v>9.25</v>
      </c>
    </row>
    <row r="1839" customFormat="false" ht="15" hidden="false" customHeight="false" outlineLevel="0" collapsed="false">
      <c r="A1839" s="22" t="n">
        <v>46034</v>
      </c>
      <c r="B1839" s="23" t="n">
        <v>9.25</v>
      </c>
    </row>
    <row r="1840" customFormat="false" ht="15" hidden="false" customHeight="false" outlineLevel="0" collapsed="false">
      <c r="A1840" s="22" t="n">
        <v>46035</v>
      </c>
      <c r="B1840" s="23" t="n">
        <v>9.25</v>
      </c>
    </row>
    <row r="1841" customFormat="false" ht="15" hidden="false" customHeight="false" outlineLevel="0" collapsed="false">
      <c r="A1841" s="22" t="n">
        <v>46036</v>
      </c>
      <c r="B1841" s="23" t="n">
        <v>9.25</v>
      </c>
    </row>
    <row r="1842" customFormat="false" ht="15" hidden="false" customHeight="false" outlineLevel="0" collapsed="false">
      <c r="A1842" s="22" t="n">
        <v>46037</v>
      </c>
      <c r="B1842" s="23" t="n">
        <v>9.25</v>
      </c>
    </row>
    <row r="1843" customFormat="false" ht="15" hidden="false" customHeight="false" outlineLevel="0" collapsed="false">
      <c r="A1843" s="22" t="n">
        <v>46038</v>
      </c>
      <c r="B1843" s="23" t="n">
        <v>9.25</v>
      </c>
    </row>
    <row r="1844" customFormat="false" ht="15" hidden="false" customHeight="false" outlineLevel="0" collapsed="false">
      <c r="A1844" s="22" t="n">
        <v>46039</v>
      </c>
      <c r="B1844" s="23" t="n">
        <v>9.25</v>
      </c>
    </row>
    <row r="1845" customFormat="false" ht="15" hidden="false" customHeight="false" outlineLevel="0" collapsed="false">
      <c r="A1845" s="22" t="n">
        <v>46040</v>
      </c>
      <c r="B1845" s="23" t="n">
        <v>9.25</v>
      </c>
    </row>
    <row r="1846" customFormat="false" ht="15" hidden="false" customHeight="false" outlineLevel="0" collapsed="false">
      <c r="A1846" s="22" t="n">
        <v>46041</v>
      </c>
      <c r="B1846" s="23" t="n">
        <v>9.25</v>
      </c>
    </row>
    <row r="1847" customFormat="false" ht="15" hidden="false" customHeight="false" outlineLevel="0" collapsed="false">
      <c r="A1847" s="22" t="n">
        <v>46042</v>
      </c>
      <c r="B1847" s="23" t="n">
        <v>9.25</v>
      </c>
    </row>
    <row r="1848" customFormat="false" ht="15" hidden="false" customHeight="false" outlineLevel="0" collapsed="false">
      <c r="A1848" s="22" t="n">
        <v>46043</v>
      </c>
      <c r="B1848" s="23" t="n">
        <v>9.25</v>
      </c>
    </row>
    <row r="1849" customFormat="false" ht="15" hidden="false" customHeight="false" outlineLevel="0" collapsed="false">
      <c r="A1849" s="22" t="n">
        <v>46044</v>
      </c>
      <c r="B1849" s="23" t="n">
        <v>9.25</v>
      </c>
    </row>
    <row r="1850" customFormat="false" ht="15" hidden="false" customHeight="false" outlineLevel="0" collapsed="false">
      <c r="A1850" s="22" t="n">
        <v>46045</v>
      </c>
      <c r="B1850" s="23" t="n">
        <v>9.25</v>
      </c>
    </row>
    <row r="1851" customFormat="false" ht="15" hidden="false" customHeight="false" outlineLevel="0" collapsed="false">
      <c r="A1851" s="22" t="n">
        <v>46046</v>
      </c>
      <c r="B1851" s="23" t="n">
        <v>9.25</v>
      </c>
    </row>
    <row r="1852" customFormat="false" ht="15" hidden="false" customHeight="false" outlineLevel="0" collapsed="false">
      <c r="A1852" s="22" t="n">
        <v>46047</v>
      </c>
      <c r="B1852" s="23" t="n">
        <v>9.25</v>
      </c>
    </row>
    <row r="1853" customFormat="false" ht="15" hidden="false" customHeight="false" outlineLevel="0" collapsed="false">
      <c r="A1853" s="22" t="n">
        <v>46048</v>
      </c>
      <c r="B1853" s="23" t="n">
        <v>9.25</v>
      </c>
    </row>
    <row r="1854" customFormat="false" ht="15" hidden="false" customHeight="false" outlineLevel="0" collapsed="false">
      <c r="A1854" s="22" t="n">
        <v>46049</v>
      </c>
      <c r="B1854" s="23" t="n">
        <v>9.25</v>
      </c>
    </row>
    <row r="1855" customFormat="false" ht="15" hidden="false" customHeight="false" outlineLevel="0" collapsed="false">
      <c r="A1855" s="22" t="n">
        <v>46050</v>
      </c>
      <c r="B1855" s="23" t="n">
        <v>9.25</v>
      </c>
    </row>
    <row r="1856" customFormat="false" ht="15" hidden="false" customHeight="false" outlineLevel="0" collapsed="false">
      <c r="A1856" s="22" t="n">
        <v>46051</v>
      </c>
      <c r="B1856" s="23" t="n">
        <v>9.25</v>
      </c>
    </row>
    <row r="1857" customFormat="false" ht="15" hidden="false" customHeight="false" outlineLevel="0" collapsed="false">
      <c r="A1857" s="22" t="n">
        <v>46052</v>
      </c>
      <c r="B1857" s="23" t="n">
        <v>9.25</v>
      </c>
    </row>
    <row r="1858" customFormat="false" ht="15" hidden="false" customHeight="false" outlineLevel="0" collapsed="false">
      <c r="A1858" s="22" t="n">
        <v>46053</v>
      </c>
      <c r="B1858" s="23" t="n">
        <v>9.25</v>
      </c>
    </row>
    <row r="1859" customFormat="false" ht="15" hidden="false" customHeight="false" outlineLevel="0" collapsed="false">
      <c r="A1859" s="22" t="n">
        <v>46054</v>
      </c>
      <c r="B1859" s="23" t="n">
        <v>9.25</v>
      </c>
    </row>
    <row r="1860" customFormat="false" ht="15" hidden="false" customHeight="false" outlineLevel="0" collapsed="false">
      <c r="A1860" s="22" t="n">
        <v>46055</v>
      </c>
      <c r="B1860" s="23" t="n">
        <v>10.25</v>
      </c>
    </row>
    <row r="1861" customFormat="false" ht="15" hidden="false" customHeight="false" outlineLevel="0" collapsed="false">
      <c r="A1861" s="22" t="n">
        <v>46056</v>
      </c>
      <c r="B1861" s="23" t="n">
        <v>10.25</v>
      </c>
    </row>
    <row r="1862" customFormat="false" ht="15" hidden="false" customHeight="false" outlineLevel="0" collapsed="false">
      <c r="A1862" s="22" t="n">
        <v>46057</v>
      </c>
      <c r="B1862" s="23" t="n">
        <v>10.25</v>
      </c>
    </row>
    <row r="1863" customFormat="false" ht="15" hidden="false" customHeight="false" outlineLevel="0" collapsed="false">
      <c r="A1863" s="22" t="n">
        <v>46058</v>
      </c>
      <c r="B1863" s="23" t="n">
        <v>10.25</v>
      </c>
    </row>
    <row r="1864" customFormat="false" ht="15" hidden="false" customHeight="false" outlineLevel="0" collapsed="false">
      <c r="A1864" s="22" t="n">
        <v>46059</v>
      </c>
      <c r="B1864" s="23" t="n">
        <v>10.25</v>
      </c>
    </row>
    <row r="1865" customFormat="false" ht="15" hidden="false" customHeight="false" outlineLevel="0" collapsed="false">
      <c r="A1865" s="22" t="n">
        <v>46060</v>
      </c>
      <c r="B1865" s="23" t="n">
        <v>10.25</v>
      </c>
    </row>
    <row r="1866" customFormat="false" ht="15" hidden="false" customHeight="false" outlineLevel="0" collapsed="false">
      <c r="A1866" s="22" t="n">
        <v>46061</v>
      </c>
      <c r="B1866" s="23" t="n">
        <v>10.25</v>
      </c>
    </row>
    <row r="1867" customFormat="false" ht="15" hidden="false" customHeight="false" outlineLevel="0" collapsed="false">
      <c r="A1867" s="22" t="n">
        <v>46062</v>
      </c>
      <c r="B1867" s="23" t="n">
        <v>10.25</v>
      </c>
    </row>
    <row r="1868" customFormat="false" ht="15" hidden="false" customHeight="false" outlineLevel="0" collapsed="false">
      <c r="A1868" s="22" t="n">
        <v>46063</v>
      </c>
      <c r="B1868" s="23" t="n">
        <v>10.25</v>
      </c>
    </row>
    <row r="1869" customFormat="false" ht="15" hidden="false" customHeight="false" outlineLevel="0" collapsed="false">
      <c r="A1869" s="22" t="n">
        <v>46064</v>
      </c>
      <c r="B1869" s="23" t="n">
        <v>10.25</v>
      </c>
    </row>
    <row r="1870" customFormat="false" ht="15" hidden="false" customHeight="false" outlineLevel="0" collapsed="false">
      <c r="A1870" s="22" t="n">
        <v>46065</v>
      </c>
      <c r="B1870" s="23" t="n">
        <v>10.25</v>
      </c>
    </row>
    <row r="1871" customFormat="false" ht="15" hidden="false" customHeight="false" outlineLevel="0" collapsed="false">
      <c r="A1871" s="22" t="n">
        <v>46066</v>
      </c>
      <c r="B1871" s="23" t="n">
        <v>10.25</v>
      </c>
    </row>
    <row r="1872" customFormat="false" ht="15" hidden="false" customHeight="false" outlineLevel="0" collapsed="false">
      <c r="A1872" s="22" t="n">
        <v>46067</v>
      </c>
      <c r="B1872" s="23" t="n">
        <v>10.25</v>
      </c>
    </row>
    <row r="1873" customFormat="false" ht="15" hidden="false" customHeight="false" outlineLevel="0" collapsed="false">
      <c r="A1873" s="22" t="n">
        <v>46068</v>
      </c>
      <c r="B1873" s="23" t="n">
        <v>10.25</v>
      </c>
    </row>
    <row r="1874" customFormat="false" ht="15" hidden="false" customHeight="false" outlineLevel="0" collapsed="false">
      <c r="A1874" s="22" t="n">
        <v>46069</v>
      </c>
      <c r="B1874" s="23" t="n">
        <v>10.25</v>
      </c>
    </row>
    <row r="1875" customFormat="false" ht="15" hidden="false" customHeight="false" outlineLevel="0" collapsed="false">
      <c r="A1875" s="22" t="n">
        <v>46070</v>
      </c>
      <c r="B1875" s="23" t="n">
        <v>10.25</v>
      </c>
    </row>
    <row r="1876" customFormat="false" ht="15" hidden="false" customHeight="false" outlineLevel="0" collapsed="false">
      <c r="A1876" s="22" t="n">
        <v>46071</v>
      </c>
      <c r="B1876" s="23" t="n">
        <v>10.25</v>
      </c>
    </row>
    <row r="1877" customFormat="false" ht="15" hidden="false" customHeight="false" outlineLevel="0" collapsed="false">
      <c r="A1877" s="22" t="n">
        <v>46072</v>
      </c>
      <c r="B1877" s="23" t="n">
        <v>10.25</v>
      </c>
    </row>
    <row r="1878" customFormat="false" ht="15" hidden="false" customHeight="false" outlineLevel="0" collapsed="false">
      <c r="A1878" s="22" t="n">
        <v>46073</v>
      </c>
      <c r="B1878" s="23" t="n">
        <v>10.25</v>
      </c>
    </row>
    <row r="1879" customFormat="false" ht="15" hidden="false" customHeight="false" outlineLevel="0" collapsed="false">
      <c r="A1879" s="22" t="n">
        <v>46074</v>
      </c>
      <c r="B1879" s="23" t="n">
        <v>10.25</v>
      </c>
    </row>
    <row r="1880" customFormat="false" ht="15" hidden="false" customHeight="false" outlineLevel="0" collapsed="false">
      <c r="A1880" s="22" t="n">
        <v>46075</v>
      </c>
      <c r="B1880" s="23" t="n">
        <v>10.25</v>
      </c>
    </row>
    <row r="1881" customFormat="false" ht="15" hidden="false" customHeight="false" outlineLevel="0" collapsed="false">
      <c r="A1881" s="22" t="n">
        <v>46076</v>
      </c>
      <c r="B1881" s="23" t="n">
        <v>10.25</v>
      </c>
    </row>
    <row r="1882" customFormat="false" ht="15" hidden="false" customHeight="false" outlineLevel="0" collapsed="false">
      <c r="A1882" s="22" t="n">
        <v>46077</v>
      </c>
      <c r="B1882" s="23" t="n">
        <v>10.25</v>
      </c>
    </row>
    <row r="1883" customFormat="false" ht="15" hidden="false" customHeight="false" outlineLevel="0" collapsed="false">
      <c r="A1883" s="22" t="n">
        <v>46078</v>
      </c>
      <c r="B1883" s="23" t="n">
        <v>10.25</v>
      </c>
    </row>
    <row r="1884" customFormat="false" ht="15" hidden="false" customHeight="false" outlineLevel="0" collapsed="false">
      <c r="A1884" s="22" t="n">
        <v>46079</v>
      </c>
      <c r="B1884" s="23" t="n">
        <v>10.25</v>
      </c>
    </row>
    <row r="1885" customFormat="false" ht="15" hidden="false" customHeight="false" outlineLevel="0" collapsed="false">
      <c r="A1885" s="22" t="n">
        <v>46080</v>
      </c>
      <c r="B1885" s="23" t="n">
        <v>10.25</v>
      </c>
    </row>
    <row r="1886" customFormat="false" ht="15" hidden="false" customHeight="false" outlineLevel="0" collapsed="false">
      <c r="A1886" s="22" t="n">
        <v>46081</v>
      </c>
      <c r="B1886" s="23" t="n">
        <v>10.25</v>
      </c>
    </row>
    <row r="1887" customFormat="false" ht="15" hidden="false" customHeight="false" outlineLevel="0" collapsed="false">
      <c r="A1887" s="22" t="n">
        <v>46082</v>
      </c>
      <c r="B1887" s="23" t="n">
        <v>10.25</v>
      </c>
    </row>
    <row r="1888" customFormat="false" ht="15" hidden="false" customHeight="false" outlineLevel="0" collapsed="false">
      <c r="A1888" s="22" t="n">
        <v>46083</v>
      </c>
      <c r="B1888" s="23" t="n">
        <v>10.25</v>
      </c>
    </row>
    <row r="1889" customFormat="false" ht="15" hidden="false" customHeight="false" outlineLevel="0" collapsed="false">
      <c r="A1889" s="22" t="n">
        <v>46084</v>
      </c>
      <c r="B1889" s="23" t="n">
        <v>10.25</v>
      </c>
    </row>
    <row r="1890" customFormat="false" ht="15" hidden="false" customHeight="false" outlineLevel="0" collapsed="false">
      <c r="A1890" s="22" t="n">
        <v>46085</v>
      </c>
      <c r="B1890" s="23" t="n">
        <v>10.25</v>
      </c>
    </row>
    <row r="1891" customFormat="false" ht="15" hidden="false" customHeight="false" outlineLevel="0" collapsed="false">
      <c r="A1891" s="22" t="n">
        <v>46086</v>
      </c>
      <c r="B1891" s="23" t="n">
        <v>10.25</v>
      </c>
    </row>
    <row r="1892" customFormat="false" ht="15" hidden="false" customHeight="false" outlineLevel="0" collapsed="false">
      <c r="A1892" s="22" t="n">
        <v>46087</v>
      </c>
      <c r="B1892" s="23" t="n">
        <v>10.25</v>
      </c>
    </row>
    <row r="1893" customFormat="false" ht="15" hidden="false" customHeight="false" outlineLevel="0" collapsed="false">
      <c r="A1893" s="22" t="n">
        <v>46088</v>
      </c>
      <c r="B1893" s="23" t="n">
        <v>10.25</v>
      </c>
    </row>
    <row r="1894" customFormat="false" ht="15" hidden="false" customHeight="false" outlineLevel="0" collapsed="false">
      <c r="A1894" s="22" t="n">
        <v>46089</v>
      </c>
      <c r="B1894" s="23" t="n">
        <v>10.25</v>
      </c>
    </row>
    <row r="1895" customFormat="false" ht="15" hidden="false" customHeight="false" outlineLevel="0" collapsed="false">
      <c r="A1895" s="22" t="n">
        <v>46090</v>
      </c>
      <c r="B1895" s="23" t="n">
        <v>10.25</v>
      </c>
    </row>
    <row r="1896" customFormat="false" ht="15" hidden="false" customHeight="false" outlineLevel="0" collapsed="false">
      <c r="A1896" s="22" t="n">
        <v>46091</v>
      </c>
      <c r="B1896" s="23" t="n">
        <v>10.25</v>
      </c>
    </row>
    <row r="1897" customFormat="false" ht="15" hidden="false" customHeight="false" outlineLevel="0" collapsed="false">
      <c r="A1897" s="22" t="n">
        <v>46092</v>
      </c>
      <c r="B1897" s="23" t="n">
        <v>10.25</v>
      </c>
    </row>
    <row r="1898" customFormat="false" ht="15" hidden="false" customHeight="false" outlineLevel="0" collapsed="false">
      <c r="A1898" s="22" t="n">
        <v>46093</v>
      </c>
      <c r="B1898" s="23" t="n">
        <v>10.25</v>
      </c>
    </row>
    <row r="1899" customFormat="false" ht="15" hidden="false" customHeight="false" outlineLevel="0" collapsed="false">
      <c r="A1899" s="22" t="n">
        <v>46094</v>
      </c>
      <c r="B1899" s="23" t="n">
        <v>10.25</v>
      </c>
    </row>
    <row r="1900" customFormat="false" ht="15" hidden="false" customHeight="false" outlineLevel="0" collapsed="false">
      <c r="A1900" s="22" t="n">
        <v>46095</v>
      </c>
      <c r="B1900" s="23" t="n">
        <v>10.25</v>
      </c>
    </row>
    <row r="1901" customFormat="false" ht="15" hidden="false" customHeight="false" outlineLevel="0" collapsed="false">
      <c r="A1901" s="22" t="n">
        <v>46096</v>
      </c>
      <c r="B1901" s="23" t="n">
        <v>10.25</v>
      </c>
    </row>
    <row r="1902" customFormat="false" ht="15" hidden="false" customHeight="false" outlineLevel="0" collapsed="false">
      <c r="A1902" s="22" t="n">
        <v>46097</v>
      </c>
      <c r="B1902" s="23" t="n">
        <v>10.25</v>
      </c>
    </row>
    <row r="1903" customFormat="false" ht="15" hidden="false" customHeight="false" outlineLevel="0" collapsed="false">
      <c r="A1903" s="22" t="n">
        <v>46098</v>
      </c>
      <c r="B1903" s="23" t="n">
        <v>10.25</v>
      </c>
    </row>
    <row r="1904" customFormat="false" ht="15" hidden="false" customHeight="false" outlineLevel="0" collapsed="false">
      <c r="A1904" s="22" t="n">
        <v>46099</v>
      </c>
      <c r="B1904" s="23" t="n">
        <v>10.25</v>
      </c>
    </row>
    <row r="1905" customFormat="false" ht="15" hidden="false" customHeight="false" outlineLevel="0" collapsed="false">
      <c r="A1905" s="22" t="n">
        <v>46100</v>
      </c>
      <c r="B1905" s="23" t="n">
        <v>10.25</v>
      </c>
    </row>
    <row r="1906" customFormat="false" ht="15" hidden="false" customHeight="false" outlineLevel="0" collapsed="false">
      <c r="A1906" s="22" t="n">
        <v>46101</v>
      </c>
      <c r="B1906" s="23" t="n">
        <v>10.25</v>
      </c>
    </row>
    <row r="1907" customFormat="false" ht="15" hidden="false" customHeight="false" outlineLevel="0" collapsed="false">
      <c r="A1907" s="22" t="n">
        <v>46102</v>
      </c>
      <c r="B1907" s="23" t="n">
        <v>10.25</v>
      </c>
    </row>
    <row r="1908" customFormat="false" ht="15" hidden="false" customHeight="false" outlineLevel="0" collapsed="false">
      <c r="A1908" s="22" t="n">
        <v>46103</v>
      </c>
      <c r="B1908" s="23" t="n">
        <v>10.25</v>
      </c>
    </row>
    <row r="1909" customFormat="false" ht="15" hidden="false" customHeight="false" outlineLevel="0" collapsed="false">
      <c r="A1909" s="22" t="n">
        <v>46104</v>
      </c>
      <c r="B1909" s="23" t="n">
        <v>10.25</v>
      </c>
    </row>
    <row r="1910" customFormat="false" ht="15" hidden="false" customHeight="false" outlineLevel="0" collapsed="false">
      <c r="A1910" s="22" t="n">
        <v>46105</v>
      </c>
      <c r="B1910" s="23" t="n">
        <v>10.25</v>
      </c>
    </row>
    <row r="1911" customFormat="false" ht="15" hidden="false" customHeight="false" outlineLevel="0" collapsed="false">
      <c r="A1911" s="22" t="n">
        <v>46106</v>
      </c>
      <c r="B1911" s="23" t="n">
        <v>10.25</v>
      </c>
    </row>
    <row r="1912" customFormat="false" ht="15" hidden="false" customHeight="false" outlineLevel="0" collapsed="false">
      <c r="A1912" s="22" t="n">
        <v>46107</v>
      </c>
      <c r="B1912" s="23" t="n">
        <v>10.25</v>
      </c>
    </row>
    <row r="1913" customFormat="false" ht="15" hidden="false" customHeight="false" outlineLevel="0" collapsed="false">
      <c r="A1913" s="22" t="n">
        <v>46108</v>
      </c>
      <c r="B1913" s="23" t="n">
        <v>10.25</v>
      </c>
    </row>
    <row r="1914" customFormat="false" ht="15" hidden="false" customHeight="false" outlineLevel="0" collapsed="false">
      <c r="A1914" s="22" t="n">
        <v>46109</v>
      </c>
      <c r="B1914" s="23" t="n">
        <v>10.25</v>
      </c>
    </row>
    <row r="1915" customFormat="false" ht="15" hidden="false" customHeight="false" outlineLevel="0" collapsed="false">
      <c r="A1915" s="22" t="n">
        <v>46110</v>
      </c>
      <c r="B1915" s="23" t="n">
        <v>10.25</v>
      </c>
    </row>
    <row r="1916" customFormat="false" ht="15" hidden="false" customHeight="false" outlineLevel="0" collapsed="false">
      <c r="A1916" s="22" t="n">
        <v>46111</v>
      </c>
      <c r="B1916" s="23" t="n">
        <v>10.25</v>
      </c>
    </row>
    <row r="1917" customFormat="false" ht="15" hidden="false" customHeight="false" outlineLevel="0" collapsed="false">
      <c r="A1917" s="22" t="n">
        <v>46112</v>
      </c>
      <c r="B1917" s="23" t="n">
        <v>10.25</v>
      </c>
    </row>
    <row r="1918" customFormat="false" ht="15" hidden="false" customHeight="false" outlineLevel="0" collapsed="false">
      <c r="A1918" s="22" t="n">
        <v>46113</v>
      </c>
      <c r="B1918" s="23" t="n">
        <v>11.25</v>
      </c>
    </row>
    <row r="1919" customFormat="false" ht="15" hidden="false" customHeight="false" outlineLevel="0" collapsed="false">
      <c r="A1919" s="22" t="n">
        <v>46114</v>
      </c>
      <c r="B1919" s="23" t="n">
        <v>11.25</v>
      </c>
    </row>
    <row r="1920" customFormat="false" ht="15" hidden="false" customHeight="false" outlineLevel="0" collapsed="false">
      <c r="A1920" s="22" t="n">
        <v>46115</v>
      </c>
      <c r="B1920" s="23" t="n">
        <v>11.25</v>
      </c>
    </row>
    <row r="1921" customFormat="false" ht="15" hidden="false" customHeight="false" outlineLevel="0" collapsed="false">
      <c r="A1921" s="22" t="n">
        <v>46116</v>
      </c>
      <c r="B1921" s="23" t="n">
        <v>11.25</v>
      </c>
    </row>
    <row r="1922" customFormat="false" ht="15" hidden="false" customHeight="false" outlineLevel="0" collapsed="false">
      <c r="A1922" s="22" t="n">
        <v>46117</v>
      </c>
      <c r="B1922" s="23" t="n">
        <v>11.25</v>
      </c>
    </row>
    <row r="1923" customFormat="false" ht="15" hidden="false" customHeight="false" outlineLevel="0" collapsed="false">
      <c r="A1923" s="22" t="n">
        <v>46118</v>
      </c>
      <c r="B1923" s="23" t="n">
        <v>11.25</v>
      </c>
    </row>
    <row r="1924" customFormat="false" ht="15" hidden="false" customHeight="false" outlineLevel="0" collapsed="false">
      <c r="A1924" s="22" t="n">
        <v>46119</v>
      </c>
      <c r="B1924" s="23" t="n">
        <v>11.25</v>
      </c>
    </row>
    <row r="1925" customFormat="false" ht="15" hidden="false" customHeight="false" outlineLevel="0" collapsed="false">
      <c r="A1925" s="22" t="n">
        <v>46120</v>
      </c>
      <c r="B1925" s="23" t="n">
        <v>11.25</v>
      </c>
    </row>
    <row r="1926" customFormat="false" ht="15" hidden="false" customHeight="false" outlineLevel="0" collapsed="false">
      <c r="A1926" s="22" t="n">
        <v>46121</v>
      </c>
      <c r="B1926" s="23" t="n">
        <v>11.25</v>
      </c>
    </row>
    <row r="1927" customFormat="false" ht="15" hidden="false" customHeight="false" outlineLevel="0" collapsed="false">
      <c r="A1927" s="22" t="n">
        <v>46122</v>
      </c>
      <c r="B1927" s="23" t="n">
        <v>11.25</v>
      </c>
    </row>
    <row r="1928" customFormat="false" ht="15" hidden="false" customHeight="false" outlineLevel="0" collapsed="false">
      <c r="A1928" s="22" t="n">
        <v>46123</v>
      </c>
      <c r="B1928" s="23" t="n">
        <v>11.25</v>
      </c>
    </row>
    <row r="1929" customFormat="false" ht="15" hidden="false" customHeight="false" outlineLevel="0" collapsed="false">
      <c r="A1929" s="22" t="n">
        <v>46124</v>
      </c>
      <c r="B1929" s="23" t="n">
        <v>11.25</v>
      </c>
    </row>
    <row r="1930" customFormat="false" ht="15" hidden="false" customHeight="false" outlineLevel="0" collapsed="false">
      <c r="A1930" s="22" t="n">
        <v>46125</v>
      </c>
      <c r="B1930" s="23" t="n">
        <v>11.25</v>
      </c>
    </row>
    <row r="1931" customFormat="false" ht="15" hidden="false" customHeight="false" outlineLevel="0" collapsed="false">
      <c r="A1931" s="22" t="n">
        <v>46126</v>
      </c>
      <c r="B1931" s="23" t="n">
        <v>11.25</v>
      </c>
    </row>
    <row r="1932" customFormat="false" ht="15" hidden="false" customHeight="false" outlineLevel="0" collapsed="false">
      <c r="A1932" s="22" t="n">
        <v>46127</v>
      </c>
      <c r="B1932" s="23" t="n">
        <v>11.25</v>
      </c>
    </row>
    <row r="1933" customFormat="false" ht="15" hidden="false" customHeight="false" outlineLevel="0" collapsed="false">
      <c r="A1933" s="22" t="n">
        <v>46128</v>
      </c>
      <c r="B1933" s="23" t="n">
        <v>11.25</v>
      </c>
    </row>
    <row r="1934" customFormat="false" ht="15" hidden="false" customHeight="false" outlineLevel="0" collapsed="false">
      <c r="A1934" s="22" t="n">
        <v>46129</v>
      </c>
      <c r="B1934" s="23" t="n">
        <v>11.25</v>
      </c>
    </row>
    <row r="1935" customFormat="false" ht="15" hidden="false" customHeight="false" outlineLevel="0" collapsed="false">
      <c r="A1935" s="22" t="n">
        <v>46130</v>
      </c>
      <c r="B1935" s="23" t="n">
        <v>11.25</v>
      </c>
    </row>
    <row r="1936" customFormat="false" ht="15" hidden="false" customHeight="false" outlineLevel="0" collapsed="false">
      <c r="A1936" s="22" t="n">
        <v>46131</v>
      </c>
      <c r="B1936" s="23" t="n">
        <v>11.25</v>
      </c>
    </row>
    <row r="1937" customFormat="false" ht="15" hidden="false" customHeight="false" outlineLevel="0" collapsed="false">
      <c r="A1937" s="22" t="n">
        <v>46132</v>
      </c>
      <c r="B1937" s="23" t="n">
        <v>11.25</v>
      </c>
    </row>
    <row r="1938" customFormat="false" ht="15" hidden="false" customHeight="false" outlineLevel="0" collapsed="false">
      <c r="A1938" s="22" t="n">
        <v>46133</v>
      </c>
      <c r="B1938" s="23" t="n">
        <v>11.25</v>
      </c>
    </row>
    <row r="1939" customFormat="false" ht="15" hidden="false" customHeight="false" outlineLevel="0" collapsed="false">
      <c r="A1939" s="22" t="n">
        <v>46134</v>
      </c>
      <c r="B1939" s="23" t="n">
        <v>11.25</v>
      </c>
    </row>
    <row r="1940" customFormat="false" ht="15" hidden="false" customHeight="false" outlineLevel="0" collapsed="false">
      <c r="A1940" s="22" t="n">
        <v>46135</v>
      </c>
      <c r="B1940" s="23" t="n">
        <v>11.25</v>
      </c>
    </row>
    <row r="1941" customFormat="false" ht="15" hidden="false" customHeight="false" outlineLevel="0" collapsed="false">
      <c r="A1941" s="22" t="n">
        <v>46136</v>
      </c>
      <c r="B1941" s="23" t="n">
        <v>11.25</v>
      </c>
    </row>
    <row r="1942" customFormat="false" ht="15" hidden="false" customHeight="false" outlineLevel="0" collapsed="false">
      <c r="A1942" s="22" t="n">
        <v>46137</v>
      </c>
      <c r="B1942" s="23" t="n">
        <v>11.25</v>
      </c>
    </row>
    <row r="1943" customFormat="false" ht="15" hidden="false" customHeight="false" outlineLevel="0" collapsed="false">
      <c r="A1943" s="22" t="n">
        <v>46138</v>
      </c>
      <c r="B1943" s="23" t="n">
        <v>11.25</v>
      </c>
    </row>
    <row r="1944" customFormat="false" ht="15" hidden="false" customHeight="false" outlineLevel="0" collapsed="false">
      <c r="A1944" s="22" t="n">
        <v>46139</v>
      </c>
      <c r="B1944" s="23" t="n">
        <v>11.25</v>
      </c>
    </row>
    <row r="1945" customFormat="false" ht="15" hidden="false" customHeight="false" outlineLevel="0" collapsed="false">
      <c r="A1945" s="22" t="n">
        <v>46140</v>
      </c>
      <c r="B1945" s="23" t="n">
        <v>11.25</v>
      </c>
    </row>
    <row r="1946" customFormat="false" ht="15" hidden="false" customHeight="false" outlineLevel="0" collapsed="false">
      <c r="A1946" s="22" t="n">
        <v>46141</v>
      </c>
      <c r="B1946" s="23" t="n">
        <v>11.25</v>
      </c>
    </row>
    <row r="1947" customFormat="false" ht="15" hidden="false" customHeight="false" outlineLevel="0" collapsed="false">
      <c r="A1947" s="22" t="n">
        <v>46142</v>
      </c>
      <c r="B1947" s="23" t="n">
        <v>11.25</v>
      </c>
    </row>
    <row r="1948" customFormat="false" ht="15" hidden="false" customHeight="false" outlineLevel="0" collapsed="false">
      <c r="A1948" s="22" t="n">
        <v>46143</v>
      </c>
      <c r="B1948" s="23" t="n">
        <v>11.25</v>
      </c>
    </row>
    <row r="1949" customFormat="false" ht="15" hidden="false" customHeight="false" outlineLevel="0" collapsed="false">
      <c r="A1949" s="22" t="n">
        <v>46144</v>
      </c>
      <c r="B1949" s="23" t="n">
        <v>11.25</v>
      </c>
    </row>
    <row r="1950" customFormat="false" ht="15" hidden="false" customHeight="false" outlineLevel="0" collapsed="false">
      <c r="A1950" s="22" t="n">
        <v>46145</v>
      </c>
      <c r="B1950" s="23" t="n">
        <v>11.25</v>
      </c>
    </row>
    <row r="1951" customFormat="false" ht="15" hidden="false" customHeight="false" outlineLevel="0" collapsed="false">
      <c r="A1951" s="22" t="n">
        <v>46146</v>
      </c>
      <c r="B1951" s="23" t="n">
        <v>11.25</v>
      </c>
    </row>
    <row r="1952" customFormat="false" ht="15" hidden="false" customHeight="false" outlineLevel="0" collapsed="false">
      <c r="A1952" s="22" t="n">
        <v>46147</v>
      </c>
      <c r="B1952" s="23" t="n">
        <v>11.25</v>
      </c>
    </row>
    <row r="1953" customFormat="false" ht="15" hidden="false" customHeight="false" outlineLevel="0" collapsed="false">
      <c r="A1953" s="22" t="n">
        <v>46148</v>
      </c>
      <c r="B1953" s="23" t="n">
        <v>11.25</v>
      </c>
    </row>
    <row r="1954" customFormat="false" ht="15" hidden="false" customHeight="false" outlineLevel="0" collapsed="false">
      <c r="A1954" s="22" t="n">
        <v>46149</v>
      </c>
      <c r="B1954" s="23" t="n">
        <v>11.25</v>
      </c>
    </row>
    <row r="1955" customFormat="false" ht="15" hidden="false" customHeight="false" outlineLevel="0" collapsed="false">
      <c r="A1955" s="22" t="n">
        <v>46150</v>
      </c>
      <c r="B1955" s="23" t="n">
        <v>11.25</v>
      </c>
    </row>
    <row r="1956" customFormat="false" ht="15" hidden="false" customHeight="false" outlineLevel="0" collapsed="false">
      <c r="A1956" s="22" t="n">
        <v>46151</v>
      </c>
      <c r="B1956" s="23" t="n">
        <v>11.25</v>
      </c>
    </row>
    <row r="1957" customFormat="false" ht="15" hidden="false" customHeight="false" outlineLevel="0" collapsed="false">
      <c r="A1957" s="22" t="n">
        <v>46152</v>
      </c>
      <c r="B1957" s="23" t="n">
        <v>11.25</v>
      </c>
    </row>
    <row r="1958" customFormat="false" ht="15" hidden="false" customHeight="false" outlineLevel="0" collapsed="false">
      <c r="A1958" s="22" t="n">
        <v>46153</v>
      </c>
      <c r="B1958" s="23" t="n">
        <v>11.25</v>
      </c>
    </row>
    <row r="1959" customFormat="false" ht="15" hidden="false" customHeight="false" outlineLevel="0" collapsed="false">
      <c r="A1959" s="22" t="n">
        <v>46154</v>
      </c>
      <c r="B1959" s="23" t="n">
        <v>11.25</v>
      </c>
    </row>
    <row r="1960" customFormat="false" ht="15" hidden="false" customHeight="false" outlineLevel="0" collapsed="false">
      <c r="A1960" s="22" t="n">
        <v>46155</v>
      </c>
      <c r="B1960" s="23" t="n">
        <v>11.25</v>
      </c>
    </row>
    <row r="1961" customFormat="false" ht="15" hidden="false" customHeight="false" outlineLevel="0" collapsed="false">
      <c r="A1961" s="22" t="n">
        <v>46156</v>
      </c>
      <c r="B1961" s="23" t="n">
        <v>11.25</v>
      </c>
    </row>
    <row r="1962" customFormat="false" ht="15" hidden="false" customHeight="false" outlineLevel="0" collapsed="false">
      <c r="A1962" s="22" t="n">
        <v>46157</v>
      </c>
      <c r="B1962" s="23" t="n">
        <v>11.25</v>
      </c>
    </row>
    <row r="1963" customFormat="false" ht="15" hidden="false" customHeight="false" outlineLevel="0" collapsed="false">
      <c r="A1963" s="22" t="n">
        <v>46158</v>
      </c>
      <c r="B1963" s="23" t="n">
        <v>11.25</v>
      </c>
    </row>
    <row r="1964" customFormat="false" ht="15" hidden="false" customHeight="false" outlineLevel="0" collapsed="false">
      <c r="A1964" s="22" t="n">
        <v>46159</v>
      </c>
      <c r="B1964" s="23" t="n">
        <v>11.25</v>
      </c>
    </row>
    <row r="1965" customFormat="false" ht="15" hidden="false" customHeight="false" outlineLevel="0" collapsed="false">
      <c r="A1965" s="22" t="n">
        <v>46160</v>
      </c>
      <c r="B1965" s="23" t="n">
        <v>11.25</v>
      </c>
    </row>
    <row r="1966" customFormat="false" ht="15" hidden="false" customHeight="false" outlineLevel="0" collapsed="false">
      <c r="A1966" s="22" t="n">
        <v>46161</v>
      </c>
      <c r="B1966" s="23" t="n">
        <v>11.25</v>
      </c>
    </row>
    <row r="1967" customFormat="false" ht="15" hidden="false" customHeight="false" outlineLevel="0" collapsed="false">
      <c r="A1967" s="22" t="n">
        <v>46162</v>
      </c>
      <c r="B1967" s="23" t="n">
        <v>11.25</v>
      </c>
    </row>
    <row r="1968" customFormat="false" ht="15" hidden="false" customHeight="false" outlineLevel="0" collapsed="false">
      <c r="A1968" s="22" t="n">
        <v>46163</v>
      </c>
      <c r="B1968" s="23" t="n">
        <v>11.25</v>
      </c>
    </row>
    <row r="1969" customFormat="false" ht="15" hidden="false" customHeight="false" outlineLevel="0" collapsed="false">
      <c r="A1969" s="22" t="n">
        <v>46164</v>
      </c>
      <c r="B1969" s="23" t="n">
        <v>11.25</v>
      </c>
    </row>
    <row r="1970" customFormat="false" ht="15" hidden="false" customHeight="false" outlineLevel="0" collapsed="false">
      <c r="A1970" s="22" t="n">
        <v>46165</v>
      </c>
      <c r="B1970" s="23" t="n">
        <v>11.25</v>
      </c>
    </row>
    <row r="1971" customFormat="false" ht="15" hidden="false" customHeight="false" outlineLevel="0" collapsed="false">
      <c r="A1971" s="22" t="n">
        <v>46166</v>
      </c>
      <c r="B1971" s="23" t="n">
        <v>11.25</v>
      </c>
    </row>
    <row r="1972" customFormat="false" ht="15" hidden="false" customHeight="false" outlineLevel="0" collapsed="false">
      <c r="A1972" s="22" t="n">
        <v>46167</v>
      </c>
      <c r="B1972" s="23" t="n">
        <v>11.25</v>
      </c>
    </row>
    <row r="1973" customFormat="false" ht="15" hidden="false" customHeight="false" outlineLevel="0" collapsed="false">
      <c r="A1973" s="22" t="n">
        <v>46168</v>
      </c>
      <c r="B1973" s="23" t="n">
        <v>11.25</v>
      </c>
    </row>
    <row r="1974" customFormat="false" ht="15" hidden="false" customHeight="false" outlineLevel="0" collapsed="false">
      <c r="A1974" s="22" t="n">
        <v>46169</v>
      </c>
      <c r="B1974" s="23" t="n">
        <v>11.25</v>
      </c>
    </row>
    <row r="1975" customFormat="false" ht="15" hidden="false" customHeight="false" outlineLevel="0" collapsed="false">
      <c r="A1975" s="22" t="n">
        <v>46170</v>
      </c>
      <c r="B1975" s="23" t="n">
        <v>11.25</v>
      </c>
    </row>
    <row r="1976" customFormat="false" ht="15" hidden="false" customHeight="false" outlineLevel="0" collapsed="false">
      <c r="A1976" s="22" t="n">
        <v>46171</v>
      </c>
      <c r="B1976" s="23" t="n">
        <v>11.25</v>
      </c>
    </row>
    <row r="1977" customFormat="false" ht="15" hidden="false" customHeight="false" outlineLevel="0" collapsed="false">
      <c r="A1977" s="22" t="n">
        <v>46172</v>
      </c>
      <c r="B1977" s="23" t="n">
        <v>11.25</v>
      </c>
    </row>
    <row r="1978" customFormat="false" ht="15" hidden="false" customHeight="false" outlineLevel="0" collapsed="false">
      <c r="A1978" s="22" t="n">
        <v>46173</v>
      </c>
      <c r="B1978" s="23" t="n">
        <v>11.25</v>
      </c>
    </row>
    <row r="1979" customFormat="false" ht="15" hidden="false" customHeight="false" outlineLevel="0" collapsed="false">
      <c r="A1979" s="22" t="n">
        <v>46174</v>
      </c>
      <c r="B1979" s="23" t="n">
        <v>11.25</v>
      </c>
    </row>
    <row r="1980" customFormat="false" ht="15" hidden="false" customHeight="false" outlineLevel="0" collapsed="false">
      <c r="A1980" s="22" t="n">
        <v>46175</v>
      </c>
      <c r="B1980" s="23" t="n">
        <v>11.25</v>
      </c>
    </row>
    <row r="1981" customFormat="false" ht="15" hidden="false" customHeight="false" outlineLevel="0" collapsed="false">
      <c r="A1981" s="22" t="n">
        <v>46176</v>
      </c>
      <c r="B1981" s="23" t="n">
        <v>11.25</v>
      </c>
    </row>
    <row r="1982" customFormat="false" ht="15" hidden="false" customHeight="false" outlineLevel="0" collapsed="false">
      <c r="A1982" s="22" t="n">
        <v>46177</v>
      </c>
      <c r="B1982" s="23" t="n">
        <v>11.25</v>
      </c>
    </row>
    <row r="1983" customFormat="false" ht="15" hidden="false" customHeight="false" outlineLevel="0" collapsed="false">
      <c r="A1983" s="22" t="n">
        <v>46178</v>
      </c>
      <c r="B1983" s="23" t="n">
        <v>11.25</v>
      </c>
    </row>
    <row r="1984" customFormat="false" ht="15" hidden="false" customHeight="false" outlineLevel="0" collapsed="false">
      <c r="A1984" s="22" t="n">
        <v>46179</v>
      </c>
      <c r="B1984" s="23" t="n">
        <v>11.25</v>
      </c>
    </row>
    <row r="1985" customFormat="false" ht="15" hidden="false" customHeight="false" outlineLevel="0" collapsed="false">
      <c r="A1985" s="22" t="n">
        <v>46180</v>
      </c>
      <c r="B1985" s="23" t="n">
        <v>11.25</v>
      </c>
    </row>
    <row r="1986" customFormat="false" ht="15" hidden="false" customHeight="false" outlineLevel="0" collapsed="false">
      <c r="A1986" s="22" t="n">
        <v>46181</v>
      </c>
      <c r="B1986" s="23" t="n">
        <v>11.25</v>
      </c>
    </row>
    <row r="1987" customFormat="false" ht="15" hidden="false" customHeight="false" outlineLevel="0" collapsed="false">
      <c r="A1987" s="22" t="n">
        <v>46182</v>
      </c>
      <c r="B1987" s="23" t="n">
        <v>11.25</v>
      </c>
    </row>
    <row r="1988" customFormat="false" ht="15" hidden="false" customHeight="false" outlineLevel="0" collapsed="false">
      <c r="A1988" s="22" t="n">
        <v>46183</v>
      </c>
      <c r="B1988" s="23" t="n">
        <v>11.25</v>
      </c>
    </row>
    <row r="1989" customFormat="false" ht="15" hidden="false" customHeight="false" outlineLevel="0" collapsed="false">
      <c r="A1989" s="22" t="n">
        <v>46184</v>
      </c>
      <c r="B1989" s="23" t="n">
        <v>11.25</v>
      </c>
    </row>
    <row r="1990" customFormat="false" ht="15" hidden="false" customHeight="false" outlineLevel="0" collapsed="false">
      <c r="A1990" s="22" t="n">
        <v>46185</v>
      </c>
      <c r="B1990" s="23" t="n">
        <v>11.25</v>
      </c>
    </row>
    <row r="1991" customFormat="false" ht="15" hidden="false" customHeight="false" outlineLevel="0" collapsed="false">
      <c r="A1991" s="22" t="n">
        <v>46186</v>
      </c>
      <c r="B1991" s="23" t="n">
        <v>11.25</v>
      </c>
    </row>
    <row r="1992" customFormat="false" ht="15" hidden="false" customHeight="false" outlineLevel="0" collapsed="false">
      <c r="A1992" s="22" t="n">
        <v>46187</v>
      </c>
      <c r="B1992" s="23" t="n">
        <v>11.25</v>
      </c>
    </row>
    <row r="1993" customFormat="false" ht="15" hidden="false" customHeight="false" outlineLevel="0" collapsed="false">
      <c r="A1993" s="22" t="n">
        <v>46188</v>
      </c>
      <c r="B1993" s="23" t="n">
        <v>11.25</v>
      </c>
    </row>
    <row r="1994" customFormat="false" ht="15" hidden="false" customHeight="false" outlineLevel="0" collapsed="false">
      <c r="A1994" s="22" t="n">
        <v>46189</v>
      </c>
      <c r="B1994" s="23" t="n">
        <v>11.25</v>
      </c>
    </row>
    <row r="1995" customFormat="false" ht="15" hidden="false" customHeight="false" outlineLevel="0" collapsed="false">
      <c r="A1995" s="22" t="n">
        <v>46190</v>
      </c>
      <c r="B1995" s="23" t="n">
        <v>11.25</v>
      </c>
    </row>
    <row r="1996" customFormat="false" ht="15" hidden="false" customHeight="false" outlineLevel="0" collapsed="false">
      <c r="A1996" s="22" t="n">
        <v>46191</v>
      </c>
      <c r="B1996" s="23" t="n">
        <v>11.25</v>
      </c>
    </row>
    <row r="1997" customFormat="false" ht="15" hidden="false" customHeight="false" outlineLevel="0" collapsed="false">
      <c r="A1997" s="22" t="n">
        <v>46192</v>
      </c>
      <c r="B1997" s="23" t="n">
        <v>11.25</v>
      </c>
    </row>
    <row r="1998" customFormat="false" ht="15" hidden="false" customHeight="false" outlineLevel="0" collapsed="false">
      <c r="A1998" s="22" t="n">
        <v>46193</v>
      </c>
      <c r="B1998" s="23" t="n">
        <v>11.25</v>
      </c>
    </row>
    <row r="1999" customFormat="false" ht="15" hidden="false" customHeight="false" outlineLevel="0" collapsed="false">
      <c r="A1999" s="22" t="n">
        <v>46194</v>
      </c>
      <c r="B1999" s="23" t="n">
        <v>11.25</v>
      </c>
    </row>
    <row r="2000" customFormat="false" ht="15" hidden="false" customHeight="false" outlineLevel="0" collapsed="false">
      <c r="A2000" s="22" t="n">
        <v>46195</v>
      </c>
      <c r="B2000" s="23" t="n">
        <v>11.25</v>
      </c>
    </row>
    <row r="2001" customFormat="false" ht="15" hidden="false" customHeight="false" outlineLevel="0" collapsed="false">
      <c r="A2001" s="22" t="n">
        <v>46196</v>
      </c>
      <c r="B2001" s="23" t="n">
        <v>11.25</v>
      </c>
    </row>
    <row r="2002" customFormat="false" ht="15" hidden="false" customHeight="false" outlineLevel="0" collapsed="false">
      <c r="A2002" s="22" t="n">
        <v>46197</v>
      </c>
      <c r="B2002" s="23" t="n">
        <v>11.25</v>
      </c>
    </row>
    <row r="2003" customFormat="false" ht="15" hidden="false" customHeight="false" outlineLevel="0" collapsed="false">
      <c r="A2003" s="22" t="n">
        <v>46198</v>
      </c>
      <c r="B2003" s="23" t="n">
        <v>11.25</v>
      </c>
    </row>
    <row r="2004" customFormat="false" ht="15" hidden="false" customHeight="false" outlineLevel="0" collapsed="false">
      <c r="A2004" s="22" t="n">
        <v>46199</v>
      </c>
      <c r="B2004" s="23" t="n">
        <v>11.25</v>
      </c>
    </row>
    <row r="2005" customFormat="false" ht="15" hidden="false" customHeight="false" outlineLevel="0" collapsed="false">
      <c r="A2005" s="22" t="n">
        <v>46200</v>
      </c>
      <c r="B2005" s="23" t="n">
        <v>11.25</v>
      </c>
    </row>
    <row r="2006" customFormat="false" ht="15" hidden="false" customHeight="false" outlineLevel="0" collapsed="false">
      <c r="A2006" s="22" t="n">
        <v>46201</v>
      </c>
      <c r="B2006" s="23" t="n">
        <v>11.25</v>
      </c>
    </row>
    <row r="2007" customFormat="false" ht="15" hidden="false" customHeight="false" outlineLevel="0" collapsed="false">
      <c r="A2007" s="22" t="n">
        <v>46202</v>
      </c>
      <c r="B2007" s="23" t="n">
        <v>11.25</v>
      </c>
    </row>
    <row r="2008" customFormat="false" ht="15" hidden="false" customHeight="false" outlineLevel="0" collapsed="false">
      <c r="A2008" s="22" t="n">
        <v>46203</v>
      </c>
      <c r="B2008" s="23" t="n">
        <v>11.25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9" min="8" style="0" width="16"/>
    <col collapsed="false" customWidth="true" hidden="false" outlineLevel="0" max="10" min="10" style="0" width="18"/>
  </cols>
  <sheetData>
    <row r="1" customFormat="false" ht="57.75" hidden="false" customHeight="true" outlineLevel="0" collapsed="false">
      <c r="A1" s="6" t="s">
        <v>146</v>
      </c>
      <c r="B1" s="6" t="s">
        <v>21</v>
      </c>
      <c r="C1" s="6" t="s">
        <v>147</v>
      </c>
      <c r="D1" s="6" t="s">
        <v>148</v>
      </c>
      <c r="E1" s="6" t="s">
        <v>149</v>
      </c>
      <c r="F1" s="6" t="s">
        <v>150</v>
      </c>
      <c r="G1" s="6" t="s">
        <v>151</v>
      </c>
      <c r="H1" s="6" t="s">
        <v>152</v>
      </c>
      <c r="I1" s="6" t="s">
        <v>153</v>
      </c>
      <c r="J1" s="6" t="s">
        <v>154</v>
      </c>
    </row>
    <row r="2" customFormat="false" ht="15" hidden="false" customHeight="false" outlineLevel="0" collapsed="false">
      <c r="A2" s="24" t="n">
        <v>44197</v>
      </c>
      <c r="B2" s="2" t="s">
        <v>47</v>
      </c>
      <c r="C2" s="25" t="n">
        <f aca="false">AVERAGEIFS(TPM_diaria!$B$2:$B$2008,TPM_diaria!$A$2:$A$2008,"&gt;="&amp;A2,TPM_diaria!$A$2:$A$2008,"&lt;="&amp;EOMONTH(A2,0))</f>
        <v>1.75</v>
      </c>
      <c r="D2" s="23" t="n">
        <v>1.75</v>
      </c>
      <c r="E2" s="23" t="n">
        <v>14.69</v>
      </c>
      <c r="F2" s="23" t="n">
        <v>105.91</v>
      </c>
      <c r="G2" s="23" t="n">
        <v>1.6</v>
      </c>
      <c r="H2" s="8" t="n">
        <v>159942.78022371</v>
      </c>
      <c r="I2" s="8" t="n">
        <v>10525.283139683</v>
      </c>
      <c r="J2" s="26" t="n">
        <v>0.065807</v>
      </c>
    </row>
    <row r="3" customFormat="false" ht="15" hidden="false" customHeight="false" outlineLevel="0" collapsed="false">
      <c r="A3" s="24" t="n">
        <v>44228</v>
      </c>
      <c r="B3" s="2" t="s">
        <v>47</v>
      </c>
      <c r="C3" s="25" t="n">
        <f aca="false">AVERAGEIFS(TPM_diaria!$B$2:$B$2008,TPM_diaria!$A$2:$A$2008,"&gt;="&amp;A3,TPM_diaria!$A$2:$A$2008,"&lt;="&amp;EOMONTH(A3,0))</f>
        <v>1.75</v>
      </c>
      <c r="D3" s="23" t="n">
        <v>1.75</v>
      </c>
      <c r="E3" s="23" t="n">
        <v>13.96</v>
      </c>
      <c r="F3" s="23" t="n">
        <v>106.58</v>
      </c>
      <c r="G3" s="23" t="n">
        <v>1.56</v>
      </c>
      <c r="H3" s="8" t="n">
        <v>160803.371099094</v>
      </c>
      <c r="I3" s="8" t="n">
        <v>10360.187913664</v>
      </c>
      <c r="J3" s="26" t="n">
        <v>0.064428</v>
      </c>
    </row>
    <row r="4" customFormat="false" ht="15" hidden="false" customHeight="false" outlineLevel="0" collapsed="false">
      <c r="A4" s="24" t="n">
        <v>44256</v>
      </c>
      <c r="B4" s="2" t="s">
        <v>47</v>
      </c>
      <c r="C4" s="25" t="n">
        <f aca="false">AVERAGEIFS(TPM_diaria!$B$2:$B$2008,TPM_diaria!$A$2:$A$2008,"&gt;="&amp;A4,TPM_diaria!$A$2:$A$2008,"&lt;="&amp;EOMONTH(A4,0))</f>
        <v>1.75</v>
      </c>
      <c r="D4" s="23" t="n">
        <v>1.75</v>
      </c>
      <c r="E4" s="23" t="n">
        <v>13.66</v>
      </c>
      <c r="F4" s="23" t="n">
        <v>107.12</v>
      </c>
      <c r="G4" s="23" t="n">
        <v>1.51</v>
      </c>
      <c r="H4" s="8" t="n">
        <v>161642.647314872</v>
      </c>
      <c r="I4" s="8" t="n">
        <v>9838.777219304</v>
      </c>
      <c r="J4" s="26" t="n">
        <v>0.060867</v>
      </c>
    </row>
    <row r="5" customFormat="false" ht="15" hidden="false" customHeight="false" outlineLevel="0" collapsed="false">
      <c r="A5" s="24" t="n">
        <v>44287</v>
      </c>
      <c r="B5" s="2" t="s">
        <v>48</v>
      </c>
      <c r="C5" s="25" t="n">
        <f aca="false">AVERAGEIFS(TPM_diaria!$B$2:$B$2008,TPM_diaria!$A$2:$A$2008,"&gt;="&amp;A5,TPM_diaria!$A$2:$A$2008,"&lt;="&amp;EOMONTH(A5,0))</f>
        <v>1.75</v>
      </c>
      <c r="D5" s="23" t="n">
        <v>1.75</v>
      </c>
      <c r="E5" s="23" t="n">
        <v>13.55</v>
      </c>
      <c r="F5" s="23" t="n">
        <v>107.76</v>
      </c>
      <c r="G5" s="23" t="n">
        <v>1.95</v>
      </c>
      <c r="H5" s="8" t="n">
        <v>162332.154372922</v>
      </c>
      <c r="I5" s="8" t="n">
        <v>9783.326006486</v>
      </c>
      <c r="J5" s="26" t="n">
        <v>0.060267</v>
      </c>
    </row>
    <row r="6" customFormat="false" ht="15" hidden="false" customHeight="false" outlineLevel="0" collapsed="false">
      <c r="A6" s="24" t="n">
        <v>44317</v>
      </c>
      <c r="B6" s="2" t="s">
        <v>48</v>
      </c>
      <c r="C6" s="25" t="n">
        <f aca="false">AVERAGEIFS(TPM_diaria!$B$2:$B$2008,TPM_diaria!$A$2:$A$2008,"&gt;="&amp;A6,TPM_diaria!$A$2:$A$2008,"&lt;="&amp;EOMONTH(A6,0))</f>
        <v>1.75</v>
      </c>
      <c r="D6" s="23" t="n">
        <v>1.75</v>
      </c>
      <c r="E6" s="23" t="n">
        <v>13.7</v>
      </c>
      <c r="F6" s="23" t="n">
        <v>108.84</v>
      </c>
      <c r="G6" s="23" t="n">
        <v>3.3</v>
      </c>
      <c r="H6" s="8" t="n">
        <v>162574.075081454</v>
      </c>
      <c r="I6" s="8" t="n">
        <v>9368.950167811</v>
      </c>
      <c r="J6" s="26" t="n">
        <v>0.057629</v>
      </c>
    </row>
    <row r="7" customFormat="false" ht="15" hidden="false" customHeight="false" outlineLevel="0" collapsed="false">
      <c r="A7" s="24" t="n">
        <v>44348</v>
      </c>
      <c r="B7" s="2" t="s">
        <v>48</v>
      </c>
      <c r="C7" s="25" t="n">
        <f aca="false">AVERAGEIFS(TPM_diaria!$B$2:$B$2008,TPM_diaria!$A$2:$A$2008,"&gt;="&amp;A7,TPM_diaria!$A$2:$A$2008,"&lt;="&amp;EOMONTH(A7,0))</f>
        <v>1.75</v>
      </c>
      <c r="D7" s="23" t="n">
        <v>1.75</v>
      </c>
      <c r="E7" s="23" t="n">
        <v>13.9</v>
      </c>
      <c r="F7" s="23" t="n">
        <v>108.78</v>
      </c>
      <c r="G7" s="23" t="n">
        <v>3.63</v>
      </c>
      <c r="H7" s="8" t="n">
        <v>163953.792184075</v>
      </c>
      <c r="I7" s="8" t="n">
        <v>9024.527137924</v>
      </c>
      <c r="J7" s="26" t="n">
        <v>0.055043</v>
      </c>
    </row>
    <row r="8" customFormat="false" ht="15" hidden="false" customHeight="false" outlineLevel="0" collapsed="false">
      <c r="A8" s="24" t="n">
        <v>44378</v>
      </c>
      <c r="B8" s="2" t="s">
        <v>49</v>
      </c>
      <c r="C8" s="25" t="n">
        <f aca="false">AVERAGEIFS(TPM_diaria!$B$2:$B$2008,TPM_diaria!$A$2:$A$2008,"&gt;="&amp;A8,TPM_diaria!$A$2:$A$2008,"&lt;="&amp;EOMONTH(A8,0))</f>
        <v>1.75</v>
      </c>
      <c r="D8" s="23" t="n">
        <v>1.75</v>
      </c>
      <c r="E8" s="23" t="n">
        <v>14.28</v>
      </c>
      <c r="F8" s="23" t="n">
        <v>109.14</v>
      </c>
      <c r="G8" s="23" t="n">
        <v>3.97</v>
      </c>
      <c r="H8" s="8" t="n">
        <v>165796.088109468</v>
      </c>
      <c r="I8" s="8" t="n">
        <v>8859.132315103</v>
      </c>
      <c r="J8" s="26" t="n">
        <v>0.053434</v>
      </c>
    </row>
    <row r="9" customFormat="false" ht="15" hidden="false" customHeight="false" outlineLevel="0" collapsed="false">
      <c r="A9" s="24" t="n">
        <v>44409</v>
      </c>
      <c r="B9" s="2" t="s">
        <v>49</v>
      </c>
      <c r="C9" s="25" t="n">
        <f aca="false">AVERAGEIFS(TPM_diaria!$B$2:$B$2008,TPM_diaria!$A$2:$A$2008,"&gt;="&amp;A9,TPM_diaria!$A$2:$A$2008,"&lt;="&amp;EOMONTH(A9,0))</f>
        <v>1.75</v>
      </c>
      <c r="D9" s="23" t="n">
        <v>1.75</v>
      </c>
      <c r="E9" s="23" t="n">
        <v>14.38</v>
      </c>
      <c r="F9" s="23" t="n">
        <v>109.62</v>
      </c>
      <c r="G9" s="23" t="n">
        <v>4.44</v>
      </c>
      <c r="H9" s="8" t="n">
        <v>168246.095680608</v>
      </c>
      <c r="I9" s="8" t="n">
        <v>8700.156861805</v>
      </c>
      <c r="J9" s="26" t="n">
        <v>0.051711</v>
      </c>
    </row>
    <row r="10" customFormat="false" ht="15" hidden="false" customHeight="false" outlineLevel="0" collapsed="false">
      <c r="A10" s="24" t="n">
        <v>44440</v>
      </c>
      <c r="B10" s="2" t="s">
        <v>49</v>
      </c>
      <c r="C10" s="25" t="n">
        <f aca="false">AVERAGEIFS(TPM_diaria!$B$2:$B$2008,TPM_diaria!$A$2:$A$2008,"&gt;="&amp;A10,TPM_diaria!$A$2:$A$2008,"&lt;="&amp;EOMONTH(A10,0))</f>
        <v>1.75</v>
      </c>
      <c r="D10" s="23" t="n">
        <v>1.75</v>
      </c>
      <c r="E10" s="23" t="n">
        <v>14.36</v>
      </c>
      <c r="F10" s="23" t="n">
        <v>110.04</v>
      </c>
      <c r="G10" s="23" t="n">
        <v>4.51</v>
      </c>
      <c r="H10" s="8" t="n">
        <v>171204.832977836</v>
      </c>
      <c r="I10" s="8" t="n">
        <v>8657.473905845</v>
      </c>
      <c r="J10" s="26" t="n">
        <v>0.050568</v>
      </c>
    </row>
    <row r="11" customFormat="false" ht="15" hidden="false" customHeight="false" outlineLevel="0" collapsed="false">
      <c r="A11" s="24" t="n">
        <v>44470</v>
      </c>
      <c r="B11" s="2" t="s">
        <v>50</v>
      </c>
      <c r="C11" s="25" t="n">
        <f aca="false">AVERAGEIFS(TPM_diaria!$B$2:$B$2008,TPM_diaria!$A$2:$A$2008,"&gt;="&amp;A11,TPM_diaria!$A$2:$A$2008,"&lt;="&amp;EOMONTH(A11,0))</f>
        <v>2</v>
      </c>
      <c r="D11" s="23" t="n">
        <v>2</v>
      </c>
      <c r="E11" s="23" t="n">
        <v>14.42</v>
      </c>
      <c r="F11" s="23" t="n">
        <v>110.06</v>
      </c>
      <c r="G11" s="23" t="n">
        <v>4.58</v>
      </c>
      <c r="H11" s="8" t="n">
        <v>174454.660437108</v>
      </c>
      <c r="I11" s="8" t="n">
        <v>8584.66471355</v>
      </c>
      <c r="J11" s="26" t="n">
        <v>0.049209</v>
      </c>
    </row>
    <row r="12" customFormat="false" ht="15" hidden="false" customHeight="false" outlineLevel="0" collapsed="false">
      <c r="A12" s="24" t="n">
        <v>44501</v>
      </c>
      <c r="B12" s="2" t="s">
        <v>50</v>
      </c>
      <c r="C12" s="25" t="n">
        <f aca="false">AVERAGEIFS(TPM_diaria!$B$2:$B$2008,TPM_diaria!$A$2:$A$2008,"&gt;="&amp;A12,TPM_diaria!$A$2:$A$2008,"&lt;="&amp;EOMONTH(A12,0))</f>
        <v>2.48333333333333</v>
      </c>
      <c r="D12" s="23" t="n">
        <v>2.5</v>
      </c>
      <c r="E12" s="23" t="n">
        <v>14.86</v>
      </c>
      <c r="F12" s="23" t="n">
        <v>110.6</v>
      </c>
      <c r="G12" s="23" t="n">
        <v>5.26</v>
      </c>
      <c r="H12" s="8" t="n">
        <v>178424.63348796</v>
      </c>
      <c r="I12" s="8" t="n">
        <v>8543.26155634</v>
      </c>
      <c r="J12" s="26" t="n">
        <v>0.047882</v>
      </c>
    </row>
    <row r="13" customFormat="false" ht="15" hidden="false" customHeight="false" outlineLevel="0" collapsed="false">
      <c r="A13" s="24" t="n">
        <v>44531</v>
      </c>
      <c r="B13" s="2" t="s">
        <v>50</v>
      </c>
      <c r="C13" s="25" t="n">
        <f aca="false">AVERAGEIFS(TPM_diaria!$B$2:$B$2008,TPM_diaria!$A$2:$A$2008,"&gt;="&amp;A13,TPM_diaria!$A$2:$A$2008,"&lt;="&amp;EOMONTH(A13,0))</f>
        <v>2.69354838709677</v>
      </c>
      <c r="D13" s="23" t="n">
        <v>2.5</v>
      </c>
      <c r="E13" s="23" t="n">
        <v>15.18</v>
      </c>
      <c r="F13" s="23" t="n">
        <v>111.41</v>
      </c>
      <c r="G13" s="23" t="n">
        <v>5.62</v>
      </c>
      <c r="H13" s="8" t="n">
        <v>180865.68763167</v>
      </c>
      <c r="I13" s="8" t="n">
        <v>8020.822298773</v>
      </c>
      <c r="J13" s="26" t="n">
        <v>0.044347</v>
      </c>
    </row>
    <row r="14" customFormat="false" ht="15" hidden="false" customHeight="false" outlineLevel="0" collapsed="false">
      <c r="A14" s="24" t="n">
        <v>44562</v>
      </c>
      <c r="B14" s="2" t="s">
        <v>51</v>
      </c>
      <c r="C14" s="25" t="n">
        <f aca="false">AVERAGEIFS(TPM_diaria!$B$2:$B$2008,TPM_diaria!$A$2:$A$2008,"&gt;="&amp;A14,TPM_diaria!$A$2:$A$2008,"&lt;="&amp;EOMONTH(A14,0))</f>
        <v>3.03225806451613</v>
      </c>
      <c r="D14" s="23" t="n">
        <v>3</v>
      </c>
      <c r="E14" s="23" t="n">
        <v>16.77</v>
      </c>
      <c r="F14" s="23" t="n">
        <v>113.26</v>
      </c>
      <c r="G14" s="23" t="n">
        <v>6.94</v>
      </c>
      <c r="H14" s="8" t="n">
        <v>183107.810243732</v>
      </c>
      <c r="I14" s="8" t="n">
        <v>8292.536569634</v>
      </c>
      <c r="J14" s="26" t="n">
        <v>0.045288</v>
      </c>
    </row>
    <row r="15" customFormat="false" ht="15" hidden="false" customHeight="false" outlineLevel="0" collapsed="false">
      <c r="A15" s="24" t="n">
        <v>44593</v>
      </c>
      <c r="B15" s="2" t="s">
        <v>51</v>
      </c>
      <c r="C15" s="25" t="n">
        <f aca="false">AVERAGEIFS(TPM_diaria!$B$2:$B$2008,TPM_diaria!$A$2:$A$2008,"&gt;="&amp;A15,TPM_diaria!$A$2:$A$2008,"&lt;="&amp;EOMONTH(A15,0))</f>
        <v>4</v>
      </c>
      <c r="D15" s="23" t="n">
        <v>4</v>
      </c>
      <c r="E15" s="23" t="n">
        <v>16.57</v>
      </c>
      <c r="F15" s="23" t="n">
        <v>115.11</v>
      </c>
      <c r="G15" s="23" t="n">
        <v>8.01</v>
      </c>
      <c r="H15" s="8" t="n">
        <v>186857.251040998</v>
      </c>
      <c r="I15" s="8" t="n">
        <v>8444.909132104</v>
      </c>
      <c r="J15" s="26" t="n">
        <v>0.045194</v>
      </c>
    </row>
    <row r="16" customFormat="false" ht="15" hidden="false" customHeight="false" outlineLevel="0" collapsed="false">
      <c r="A16" s="24" t="n">
        <v>44621</v>
      </c>
      <c r="B16" s="2" t="s">
        <v>51</v>
      </c>
      <c r="C16" s="25" t="n">
        <f aca="false">AVERAGEIFS(TPM_diaria!$B$2:$B$2008,TPM_diaria!$A$2:$A$2008,"&gt;="&amp;A16,TPM_diaria!$A$2:$A$2008,"&lt;="&amp;EOMONTH(A16,0))</f>
        <v>4</v>
      </c>
      <c r="D16" s="23" t="n">
        <v>4</v>
      </c>
      <c r="E16" s="23" t="n">
        <v>16.85</v>
      </c>
      <c r="F16" s="23" t="n">
        <v>116.26</v>
      </c>
      <c r="G16" s="23" t="n">
        <v>8.53</v>
      </c>
      <c r="H16" s="8" t="n">
        <v>190568.22607607</v>
      </c>
      <c r="I16" s="8" t="n">
        <v>8391.166039422</v>
      </c>
      <c r="J16" s="26" t="n">
        <v>0.044032</v>
      </c>
    </row>
    <row r="17" customFormat="false" ht="15" hidden="false" customHeight="false" outlineLevel="0" collapsed="false">
      <c r="A17" s="24" t="n">
        <v>44652</v>
      </c>
      <c r="B17" s="2" t="s">
        <v>52</v>
      </c>
      <c r="C17" s="25" t="n">
        <f aca="false">AVERAGEIFS(TPM_diaria!$B$2:$B$2008,TPM_diaria!$A$2:$A$2008,"&gt;="&amp;A17,TPM_diaria!$A$2:$A$2008,"&lt;="&amp;EOMONTH(A17,0))</f>
        <v>5</v>
      </c>
      <c r="D17" s="23" t="n">
        <v>5</v>
      </c>
      <c r="E17" s="23" t="n">
        <v>18.35</v>
      </c>
      <c r="F17" s="23" t="n">
        <v>117.71</v>
      </c>
      <c r="G17" s="23" t="n">
        <v>9.23</v>
      </c>
      <c r="H17" s="8" t="n">
        <v>193989.118552609</v>
      </c>
      <c r="I17" s="8" t="n">
        <v>8681.520152648</v>
      </c>
      <c r="J17" s="26" t="n">
        <v>0.044753</v>
      </c>
    </row>
    <row r="18" customFormat="false" ht="15" hidden="false" customHeight="false" outlineLevel="0" collapsed="false">
      <c r="A18" s="24" t="n">
        <v>44682</v>
      </c>
      <c r="B18" s="2" t="s">
        <v>52</v>
      </c>
      <c r="C18" s="25" t="n">
        <f aca="false">AVERAGEIFS(TPM_diaria!$B$2:$B$2008,TPM_diaria!$A$2:$A$2008,"&gt;="&amp;A18,TPM_diaria!$A$2:$A$2008,"&lt;="&amp;EOMONTH(A18,0))</f>
        <v>5.96774193548387</v>
      </c>
      <c r="D18" s="23" t="n">
        <v>6</v>
      </c>
      <c r="E18" s="23" t="n">
        <v>19.11</v>
      </c>
      <c r="F18" s="23" t="n">
        <v>118.7</v>
      </c>
      <c r="G18" s="23" t="n">
        <v>9.07</v>
      </c>
      <c r="H18" s="8" t="n">
        <v>197918.476556298</v>
      </c>
      <c r="I18" s="8" t="n">
        <v>9001.332739405</v>
      </c>
      <c r="J18" s="26" t="n">
        <v>0.04548</v>
      </c>
    </row>
    <row r="19" customFormat="false" ht="15" hidden="false" customHeight="false" outlineLevel="0" collapsed="false">
      <c r="A19" s="24" t="n">
        <v>44713</v>
      </c>
      <c r="B19" s="2" t="s">
        <v>52</v>
      </c>
      <c r="C19" s="25" t="n">
        <f aca="false">AVERAGEIFS(TPM_diaria!$B$2:$B$2008,TPM_diaria!$A$2:$A$2008,"&gt;="&amp;A19,TPM_diaria!$A$2:$A$2008,"&lt;="&amp;EOMONTH(A19,0))</f>
        <v>6</v>
      </c>
      <c r="D19" s="23" t="n">
        <v>6</v>
      </c>
      <c r="E19" s="23" t="n">
        <v>19.84</v>
      </c>
      <c r="F19" s="23" t="n">
        <v>119.31</v>
      </c>
      <c r="G19" s="23" t="n">
        <v>9.67</v>
      </c>
      <c r="H19" s="8" t="n">
        <v>201295.580572853</v>
      </c>
      <c r="I19" s="8" t="n">
        <v>9408.461729892</v>
      </c>
      <c r="J19" s="26" t="n">
        <v>0.04674</v>
      </c>
    </row>
    <row r="20" customFormat="false" ht="15" hidden="false" customHeight="false" outlineLevel="0" collapsed="false">
      <c r="A20" s="24" t="n">
        <v>44743</v>
      </c>
      <c r="B20" s="2" t="s">
        <v>53</v>
      </c>
      <c r="C20" s="25" t="n">
        <f aca="false">AVERAGEIFS(TPM_diaria!$B$2:$B$2008,TPM_diaria!$A$2:$A$2008,"&gt;="&amp;A20,TPM_diaria!$A$2:$A$2008,"&lt;="&amp;EOMONTH(A20,0))</f>
        <v>7.5</v>
      </c>
      <c r="D20" s="23" t="n">
        <v>7.5</v>
      </c>
      <c r="E20" s="23" t="n">
        <v>21.45</v>
      </c>
      <c r="F20" s="23" t="n">
        <v>120.27</v>
      </c>
      <c r="G20" s="23" t="n">
        <v>10.21</v>
      </c>
      <c r="H20" s="8" t="n">
        <v>203272.952111738</v>
      </c>
      <c r="I20" s="8" t="n">
        <v>9684.069279524</v>
      </c>
      <c r="J20" s="26" t="n">
        <v>0.047641</v>
      </c>
    </row>
    <row r="21" customFormat="false" ht="15" hidden="false" customHeight="false" outlineLevel="0" collapsed="false">
      <c r="A21" s="24" t="n">
        <v>44774</v>
      </c>
      <c r="B21" s="2" t="s">
        <v>53</v>
      </c>
      <c r="C21" s="25" t="n">
        <f aca="false">AVERAGEIFS(TPM_diaria!$B$2:$B$2008,TPM_diaria!$A$2:$A$2008,"&gt;="&amp;A21,TPM_diaria!$A$2:$A$2008,"&lt;="&amp;EOMONTH(A21,0))</f>
        <v>9</v>
      </c>
      <c r="D21" s="23" t="n">
        <v>9</v>
      </c>
      <c r="E21" s="23" t="n">
        <v>23.2</v>
      </c>
      <c r="F21" s="23" t="n">
        <v>121.5</v>
      </c>
      <c r="G21" s="23" t="n">
        <v>10.84</v>
      </c>
      <c r="H21" s="8" t="n">
        <v>206476.826863829</v>
      </c>
      <c r="I21" s="8" t="n">
        <v>9906.596073065</v>
      </c>
      <c r="J21" s="26" t="n">
        <v>0.047979</v>
      </c>
    </row>
    <row r="22" customFormat="false" ht="15" hidden="false" customHeight="false" outlineLevel="0" collapsed="false">
      <c r="A22" s="24" t="n">
        <v>44805</v>
      </c>
      <c r="B22" s="2" t="s">
        <v>53</v>
      </c>
      <c r="C22" s="25" t="n">
        <f aca="false">AVERAGEIFS(TPM_diaria!$B$2:$B$2008,TPM_diaria!$A$2:$A$2008,"&gt;="&amp;A22,TPM_diaria!$A$2:$A$2008,"&lt;="&amp;EOMONTH(A22,0))</f>
        <v>9.03333333333333</v>
      </c>
      <c r="D22" s="23" t="n">
        <v>9</v>
      </c>
      <c r="E22" s="23" t="n">
        <v>24.37</v>
      </c>
      <c r="F22" s="23" t="n">
        <v>122.63</v>
      </c>
      <c r="G22" s="23" t="n">
        <v>11.44</v>
      </c>
      <c r="H22" s="8" t="n">
        <v>209433.591352763</v>
      </c>
      <c r="I22" s="8" t="n">
        <v>10333.439377929</v>
      </c>
      <c r="J22" s="26" t="n">
        <v>0.04934</v>
      </c>
    </row>
    <row r="23" customFormat="false" ht="15" hidden="false" customHeight="false" outlineLevel="0" collapsed="false">
      <c r="A23" s="24" t="n">
        <v>44835</v>
      </c>
      <c r="B23" s="2" t="s">
        <v>54</v>
      </c>
      <c r="C23" s="25" t="n">
        <f aca="false">AVERAGEIFS(TPM_diaria!$B$2:$B$2008,TPM_diaria!$A$2:$A$2008,"&gt;="&amp;A23,TPM_diaria!$A$2:$A$2008,"&lt;="&amp;EOMONTH(A23,0))</f>
        <v>10.0322580645161</v>
      </c>
      <c r="D23" s="23" t="n">
        <v>10</v>
      </c>
      <c r="E23" s="23" t="n">
        <v>25.99</v>
      </c>
      <c r="F23" s="23" t="n">
        <v>123.51</v>
      </c>
      <c r="G23" s="23" t="n">
        <v>12.22</v>
      </c>
      <c r="H23" s="8" t="n">
        <v>211624.498772734</v>
      </c>
      <c r="I23" s="8" t="n">
        <v>10829.599730893</v>
      </c>
      <c r="J23" s="26" t="n">
        <v>0.051174</v>
      </c>
    </row>
    <row r="24" customFormat="false" ht="15" hidden="false" customHeight="false" outlineLevel="0" collapsed="false">
      <c r="A24" s="24" t="n">
        <v>44866</v>
      </c>
      <c r="B24" s="2" t="s">
        <v>54</v>
      </c>
      <c r="C24" s="25" t="n">
        <f aca="false">AVERAGEIFS(TPM_diaria!$B$2:$B$2008,TPM_diaria!$A$2:$A$2008,"&gt;="&amp;A24,TPM_diaria!$A$2:$A$2008,"&lt;="&amp;EOMONTH(A24,0))</f>
        <v>11</v>
      </c>
      <c r="D24" s="23" t="n">
        <v>11</v>
      </c>
      <c r="E24" s="23" t="n">
        <v>27.1</v>
      </c>
      <c r="F24" s="23" t="n">
        <v>124.46</v>
      </c>
      <c r="G24" s="23" t="n">
        <v>12.53</v>
      </c>
      <c r="H24" s="8" t="n">
        <v>213733.674685494</v>
      </c>
      <c r="I24" s="8" t="n">
        <v>11611.730260719</v>
      </c>
      <c r="J24" s="26" t="n">
        <v>0.054328</v>
      </c>
    </row>
    <row r="25" customFormat="false" ht="15" hidden="false" customHeight="false" outlineLevel="0" collapsed="false">
      <c r="A25" s="24" t="n">
        <v>44896</v>
      </c>
      <c r="B25" s="2" t="s">
        <v>54</v>
      </c>
      <c r="C25" s="25" t="n">
        <f aca="false">AVERAGEIFS(TPM_diaria!$B$2:$B$2008,TPM_diaria!$A$2:$A$2008,"&gt;="&amp;A25,TPM_diaria!$A$2:$A$2008,"&lt;="&amp;EOMONTH(A25,0))</f>
        <v>11.4193548387097</v>
      </c>
      <c r="D25" s="23" t="n">
        <v>11</v>
      </c>
      <c r="E25" s="23" t="n">
        <v>28.71</v>
      </c>
      <c r="F25" s="23" t="n">
        <v>126.03</v>
      </c>
      <c r="G25" s="23" t="n">
        <v>13.12</v>
      </c>
      <c r="H25" s="8" t="n">
        <v>213945.759942173</v>
      </c>
      <c r="I25" s="8" t="n">
        <v>11777.184624535</v>
      </c>
      <c r="J25" s="26" t="n">
        <v>0.055048</v>
      </c>
    </row>
    <row r="26" customFormat="false" ht="15" hidden="false" customHeight="false" outlineLevel="0" collapsed="false">
      <c r="A26" s="24" t="n">
        <v>44927</v>
      </c>
      <c r="B26" s="2" t="s">
        <v>55</v>
      </c>
      <c r="C26" s="25" t="n">
        <f aca="false">AVERAGEIFS(TPM_diaria!$B$2:$B$2008,TPM_diaria!$A$2:$A$2008,"&gt;="&amp;A26,TPM_diaria!$A$2:$A$2008,"&lt;="&amp;EOMONTH(A26,0))</f>
        <v>12.0483870967742</v>
      </c>
      <c r="D26" s="23" t="n">
        <v>12</v>
      </c>
      <c r="E26" s="23" t="n">
        <v>30.84</v>
      </c>
      <c r="F26" s="23" t="n">
        <v>128.27</v>
      </c>
      <c r="G26" s="23" t="n">
        <v>13.25</v>
      </c>
      <c r="H26" s="8" t="n">
        <v>213501.382264235</v>
      </c>
      <c r="I26" s="8" t="n">
        <v>12601.06031054</v>
      </c>
      <c r="J26" s="26" t="n">
        <v>0.059021</v>
      </c>
    </row>
    <row r="27" customFormat="false" ht="15" hidden="false" customHeight="false" outlineLevel="0" collapsed="false">
      <c r="A27" s="24" t="n">
        <v>44958</v>
      </c>
      <c r="B27" s="2" t="s">
        <v>55</v>
      </c>
      <c r="C27" s="25" t="n">
        <f aca="false">AVERAGEIFS(TPM_diaria!$B$2:$B$2008,TPM_diaria!$A$2:$A$2008,"&gt;="&amp;A27,TPM_diaria!$A$2:$A$2008,"&lt;="&amp;EOMONTH(A27,0))</f>
        <v>12.75</v>
      </c>
      <c r="D27" s="23" t="n">
        <v>12.75</v>
      </c>
      <c r="E27" s="23" t="n">
        <v>29.95</v>
      </c>
      <c r="F27" s="23" t="n">
        <v>130.4</v>
      </c>
      <c r="G27" s="23" t="n">
        <v>13.28</v>
      </c>
      <c r="H27" s="8" t="n">
        <v>213329.899360919</v>
      </c>
      <c r="I27" s="8" t="n">
        <v>13568.849744734</v>
      </c>
      <c r="J27" s="26" t="n">
        <v>0.063605</v>
      </c>
    </row>
    <row r="28" customFormat="false" ht="15" hidden="false" customHeight="false" outlineLevel="0" collapsed="false">
      <c r="A28" s="24" t="n">
        <v>44986</v>
      </c>
      <c r="B28" s="2" t="s">
        <v>55</v>
      </c>
      <c r="C28" s="25" t="n">
        <f aca="false">AVERAGEIFS(TPM_diaria!$B$2:$B$2008,TPM_diaria!$A$2:$A$2008,"&gt;="&amp;A28,TPM_diaria!$A$2:$A$2008,"&lt;="&amp;EOMONTH(A28,0))</f>
        <v>12.758064516129</v>
      </c>
      <c r="D28" s="23" t="n">
        <v>12.75</v>
      </c>
      <c r="E28" s="23" t="n">
        <v>29.69</v>
      </c>
      <c r="F28" s="23" t="n">
        <v>131.77</v>
      </c>
      <c r="G28" s="23" t="n">
        <v>13.34</v>
      </c>
      <c r="H28" s="8" t="n">
        <v>213106.834320781</v>
      </c>
      <c r="I28" s="8" t="n">
        <v>14370.307885755</v>
      </c>
      <c r="J28" s="26" t="n">
        <v>0.067432</v>
      </c>
    </row>
    <row r="29" customFormat="false" ht="15" hidden="false" customHeight="false" outlineLevel="0" collapsed="false">
      <c r="A29" s="24" t="n">
        <v>45017</v>
      </c>
      <c r="B29" s="2" t="s">
        <v>56</v>
      </c>
      <c r="C29" s="25" t="n">
        <f aca="false">AVERAGEIFS(TPM_diaria!$B$2:$B$2008,TPM_diaria!$A$2:$A$2008,"&gt;="&amp;A29,TPM_diaria!$A$2:$A$2008,"&lt;="&amp;EOMONTH(A29,0))</f>
        <v>13</v>
      </c>
      <c r="D29" s="23" t="n">
        <v>13</v>
      </c>
      <c r="E29" s="23" t="n">
        <v>29.3</v>
      </c>
      <c r="F29" s="23" t="n">
        <v>132.8</v>
      </c>
      <c r="G29" s="23" t="n">
        <v>12.82</v>
      </c>
      <c r="H29" s="8" t="n">
        <v>212897.277280476</v>
      </c>
      <c r="I29" s="8" t="n">
        <v>15432.189290212</v>
      </c>
      <c r="J29" s="26" t="n">
        <v>0.072487</v>
      </c>
    </row>
    <row r="30" customFormat="false" ht="15" hidden="false" customHeight="false" outlineLevel="0" collapsed="false">
      <c r="A30" s="24" t="n">
        <v>45047</v>
      </c>
      <c r="B30" s="2" t="s">
        <v>56</v>
      </c>
      <c r="C30" s="25" t="n">
        <f aca="false">AVERAGEIFS(TPM_diaria!$B$2:$B$2008,TPM_diaria!$A$2:$A$2008,"&gt;="&amp;A30,TPM_diaria!$A$2:$A$2008,"&lt;="&amp;EOMONTH(A30,0))</f>
        <v>13.241935483871</v>
      </c>
      <c r="D30" s="23" t="n">
        <v>13.25</v>
      </c>
      <c r="E30" s="23" t="n">
        <v>28.39</v>
      </c>
      <c r="F30" s="23" t="n">
        <v>133.38</v>
      </c>
      <c r="G30" s="23" t="n">
        <v>12.36</v>
      </c>
      <c r="H30" s="8" t="n">
        <v>212874.966011298</v>
      </c>
      <c r="I30" s="8" t="n">
        <v>15797.198828473</v>
      </c>
      <c r="J30" s="26" t="n">
        <v>0.074209</v>
      </c>
    </row>
    <row r="31" customFormat="false" ht="15" hidden="false" customHeight="false" outlineLevel="0" collapsed="false">
      <c r="A31" s="24" t="n">
        <v>45078</v>
      </c>
      <c r="B31" s="2" t="s">
        <v>56</v>
      </c>
      <c r="C31" s="25" t="n">
        <f aca="false">AVERAGEIFS(TPM_diaria!$B$2:$B$2008,TPM_diaria!$A$2:$A$2008,"&gt;="&amp;A31,TPM_diaria!$A$2:$A$2008,"&lt;="&amp;EOMONTH(A31,0))</f>
        <v>13.25</v>
      </c>
      <c r="D31" s="23" t="n">
        <v>13.25</v>
      </c>
      <c r="E31" s="23" t="n">
        <v>27.94</v>
      </c>
      <c r="F31" s="23" t="n">
        <v>133.78</v>
      </c>
      <c r="G31" s="23" t="n">
        <v>12.13</v>
      </c>
      <c r="H31" s="8" t="n">
        <v>211899.667997021</v>
      </c>
      <c r="I31" s="8" t="n">
        <v>15974.106385148</v>
      </c>
      <c r="J31" s="26" t="n">
        <v>0.075385</v>
      </c>
    </row>
    <row r="32" customFormat="false" ht="15" hidden="false" customHeight="false" outlineLevel="0" collapsed="false">
      <c r="A32" s="24" t="n">
        <v>45108</v>
      </c>
      <c r="B32" s="2" t="s">
        <v>57</v>
      </c>
      <c r="C32" s="25" t="n">
        <f aca="false">AVERAGEIFS(TPM_diaria!$B$2:$B$2008,TPM_diaria!$A$2:$A$2008,"&gt;="&amp;A32,TPM_diaria!$A$2:$A$2008,"&lt;="&amp;EOMONTH(A32,0))</f>
        <v>13.25</v>
      </c>
      <c r="D32" s="23" t="n">
        <v>13.25</v>
      </c>
      <c r="E32" s="23" t="n">
        <v>27.64</v>
      </c>
      <c r="F32" s="23" t="n">
        <v>134.45</v>
      </c>
      <c r="G32" s="23" t="n">
        <v>11.78</v>
      </c>
      <c r="H32" s="8" t="n">
        <v>211233.437165177</v>
      </c>
      <c r="I32" s="8" t="n">
        <v>15876.694489504</v>
      </c>
      <c r="J32" s="26" t="n">
        <v>0.075162</v>
      </c>
    </row>
    <row r="33" customFormat="false" ht="15" hidden="false" customHeight="false" outlineLevel="0" collapsed="false">
      <c r="A33" s="24" t="n">
        <v>45139</v>
      </c>
      <c r="B33" s="2" t="s">
        <v>57</v>
      </c>
      <c r="C33" s="25" t="n">
        <f aca="false">AVERAGEIFS(TPM_diaria!$B$2:$B$2008,TPM_diaria!$A$2:$A$2008,"&gt;="&amp;A33,TPM_diaria!$A$2:$A$2008,"&lt;="&amp;EOMONTH(A33,0))</f>
        <v>13.25</v>
      </c>
      <c r="D33" s="23" t="n">
        <v>13.25</v>
      </c>
      <c r="E33" s="23" t="n">
        <v>26.36</v>
      </c>
      <c r="F33" s="23" t="n">
        <v>135.39</v>
      </c>
      <c r="G33" s="23" t="n">
        <v>11.43</v>
      </c>
      <c r="H33" s="8" t="n">
        <v>211380.833950262</v>
      </c>
      <c r="I33" s="8" t="n">
        <v>16159.046822973</v>
      </c>
      <c r="J33" s="26" t="n">
        <v>0.076445</v>
      </c>
    </row>
    <row r="34" customFormat="false" ht="15" hidden="false" customHeight="false" outlineLevel="0" collapsed="false">
      <c r="A34" s="24" t="n">
        <v>45170</v>
      </c>
      <c r="B34" s="2" t="s">
        <v>57</v>
      </c>
      <c r="C34" s="25" t="n">
        <f aca="false">AVERAGEIFS(TPM_diaria!$B$2:$B$2008,TPM_diaria!$A$2:$A$2008,"&gt;="&amp;A34,TPM_diaria!$A$2:$A$2008,"&lt;="&amp;EOMONTH(A34,0))</f>
        <v>13.25</v>
      </c>
      <c r="D34" s="23" t="n">
        <v>13.25</v>
      </c>
      <c r="E34" s="23" t="n">
        <v>26.39</v>
      </c>
      <c r="F34" s="23" t="n">
        <v>136.11</v>
      </c>
      <c r="G34" s="23" t="n">
        <v>10.99</v>
      </c>
      <c r="H34" s="8" t="n">
        <v>211082.010744082</v>
      </c>
      <c r="I34" s="8" t="n">
        <v>16431.636816059</v>
      </c>
      <c r="J34" s="26" t="n">
        <v>0.077845</v>
      </c>
    </row>
    <row r="35" customFormat="false" ht="15" hidden="false" customHeight="false" outlineLevel="0" collapsed="false">
      <c r="A35" s="24" t="n">
        <v>45200</v>
      </c>
      <c r="B35" s="2" t="s">
        <v>58</v>
      </c>
      <c r="C35" s="25" t="n">
        <f aca="false">AVERAGEIFS(TPM_diaria!$B$2:$B$2008,TPM_diaria!$A$2:$A$2008,"&gt;="&amp;A35,TPM_diaria!$A$2:$A$2008,"&lt;="&amp;EOMONTH(A35,0))</f>
        <v>13.25</v>
      </c>
      <c r="D35" s="23" t="n">
        <v>13.25</v>
      </c>
      <c r="E35" s="23" t="n">
        <v>26.68</v>
      </c>
      <c r="F35" s="23" t="n">
        <v>136.45</v>
      </c>
      <c r="G35" s="23" t="n">
        <v>10.48</v>
      </c>
      <c r="H35" s="8" t="n">
        <v>210560.974708972</v>
      </c>
      <c r="I35" s="8" t="n">
        <v>17391.451559788</v>
      </c>
      <c r="J35" s="26" t="n">
        <v>0.082596</v>
      </c>
    </row>
    <row r="36" customFormat="false" ht="15" hidden="false" customHeight="false" outlineLevel="0" collapsed="false">
      <c r="A36" s="24" t="n">
        <v>45231</v>
      </c>
      <c r="B36" s="2" t="s">
        <v>58</v>
      </c>
      <c r="C36" s="25" t="n">
        <f aca="false">AVERAGEIFS(TPM_diaria!$B$2:$B$2008,TPM_diaria!$A$2:$A$2008,"&gt;="&amp;A36,TPM_diaria!$A$2:$A$2008,"&lt;="&amp;EOMONTH(A36,0))</f>
        <v>13.25</v>
      </c>
      <c r="D36" s="23" t="n">
        <v>13.25</v>
      </c>
      <c r="E36" s="23" t="n">
        <v>26.18</v>
      </c>
      <c r="F36" s="23" t="n">
        <v>137.09</v>
      </c>
      <c r="G36" s="23" t="n">
        <v>10.15</v>
      </c>
      <c r="H36" s="8" t="n">
        <v>210618.072312322</v>
      </c>
      <c r="I36" s="8" t="n">
        <v>17752.107241773</v>
      </c>
      <c r="J36" s="26" t="n">
        <v>0.084286</v>
      </c>
    </row>
    <row r="37" customFormat="false" ht="15" hidden="false" customHeight="false" outlineLevel="0" collapsed="false">
      <c r="A37" s="24" t="n">
        <v>45261</v>
      </c>
      <c r="B37" s="2" t="s">
        <v>58</v>
      </c>
      <c r="C37" s="25" t="n">
        <f aca="false">AVERAGEIFS(TPM_diaria!$B$2:$B$2008,TPM_diaria!$A$2:$A$2008,"&gt;="&amp;A37,TPM_diaria!$A$2:$A$2008,"&lt;="&amp;EOMONTH(A37,0))</f>
        <v>13.1532258064516</v>
      </c>
      <c r="D37" s="23" t="n">
        <v>13.25</v>
      </c>
      <c r="E37" s="23" t="n">
        <v>26.08</v>
      </c>
      <c r="F37" s="23" t="n">
        <v>137.72</v>
      </c>
      <c r="G37" s="23" t="n">
        <v>9.28</v>
      </c>
      <c r="H37" s="8" t="n">
        <v>208832.583966211</v>
      </c>
      <c r="I37" s="8" t="n">
        <v>17183.371582878</v>
      </c>
      <c r="J37" s="26" t="n">
        <v>0.082283</v>
      </c>
    </row>
    <row r="38" customFormat="false" ht="15" hidden="false" customHeight="false" outlineLevel="0" collapsed="false">
      <c r="A38" s="24" t="n">
        <v>45292</v>
      </c>
      <c r="B38" s="2" t="s">
        <v>59</v>
      </c>
      <c r="C38" s="25" t="n">
        <f aca="false">AVERAGEIFS(TPM_diaria!$B$2:$B$2008,TPM_diaria!$A$2:$A$2008,"&gt;="&amp;A38,TPM_diaria!$A$2:$A$2008,"&lt;="&amp;EOMONTH(A38,0))</f>
        <v>13</v>
      </c>
      <c r="D38" s="23" t="n">
        <v>13</v>
      </c>
      <c r="E38" s="23" t="n">
        <v>24.96</v>
      </c>
      <c r="F38" s="23" t="n">
        <v>138.98</v>
      </c>
      <c r="G38" s="23" t="n">
        <v>8.35</v>
      </c>
      <c r="H38" s="8" t="n">
        <v>206881.343662301</v>
      </c>
      <c r="I38" s="8" t="n">
        <v>17298.723443835</v>
      </c>
      <c r="J38" s="26" t="n">
        <v>0.083617</v>
      </c>
    </row>
    <row r="39" customFormat="false" ht="15" hidden="false" customHeight="false" outlineLevel="0" collapsed="false">
      <c r="A39" s="24" t="n">
        <v>45323</v>
      </c>
      <c r="B39" s="2" t="s">
        <v>59</v>
      </c>
      <c r="C39" s="25" t="n">
        <f aca="false">AVERAGEIFS(TPM_diaria!$B$2:$B$2008,TPM_diaria!$A$2:$A$2008,"&gt;="&amp;A39,TPM_diaria!$A$2:$A$2008,"&lt;="&amp;EOMONTH(A39,0))</f>
        <v>12.75</v>
      </c>
      <c r="D39" s="23" t="n">
        <v>12.75</v>
      </c>
      <c r="E39" s="23" t="n">
        <v>23.57</v>
      </c>
      <c r="F39" s="23" t="n">
        <v>140.49</v>
      </c>
      <c r="G39" s="23" t="n">
        <v>7.74</v>
      </c>
      <c r="H39" s="8" t="n">
        <v>205563.274456607</v>
      </c>
      <c r="I39" s="8" t="n">
        <v>17148.133028865</v>
      </c>
      <c r="J39" s="26" t="n">
        <v>0.08342</v>
      </c>
    </row>
    <row r="40" customFormat="false" ht="15" hidden="false" customHeight="false" outlineLevel="0" collapsed="false">
      <c r="A40" s="24" t="n">
        <v>45352</v>
      </c>
      <c r="B40" s="2" t="s">
        <v>59</v>
      </c>
      <c r="C40" s="25" t="n">
        <f aca="false">AVERAGEIFS(TPM_diaria!$B$2:$B$2008,TPM_diaria!$A$2:$A$2008,"&gt;="&amp;A40,TPM_diaria!$A$2:$A$2008,"&lt;="&amp;EOMONTH(A40,0))</f>
        <v>12.6532258064516</v>
      </c>
      <c r="D40" s="23" t="n">
        <v>12.75</v>
      </c>
      <c r="E40" s="23" t="n">
        <v>23.29</v>
      </c>
      <c r="F40" s="23" t="n">
        <v>141.48</v>
      </c>
      <c r="G40" s="23" t="n">
        <v>7.36</v>
      </c>
      <c r="H40" s="8" t="n">
        <v>204330.784874891</v>
      </c>
      <c r="I40" s="8" t="n">
        <v>17198.914551341</v>
      </c>
      <c r="J40" s="26" t="n">
        <v>0.084172</v>
      </c>
    </row>
    <row r="41" customFormat="false" ht="15" hidden="false" customHeight="false" outlineLevel="0" collapsed="false">
      <c r="A41" s="24" t="n">
        <v>45383</v>
      </c>
      <c r="B41" s="2" t="s">
        <v>60</v>
      </c>
      <c r="C41" s="25" t="n">
        <f aca="false">AVERAGEIFS(TPM_diaria!$B$2:$B$2008,TPM_diaria!$A$2:$A$2008,"&gt;="&amp;A41,TPM_diaria!$A$2:$A$2008,"&lt;="&amp;EOMONTH(A41,0))</f>
        <v>12.25</v>
      </c>
      <c r="D41" s="23" t="n">
        <v>12.25</v>
      </c>
      <c r="E41" s="23" t="n">
        <v>23.12</v>
      </c>
      <c r="F41" s="23" t="n">
        <v>142.32</v>
      </c>
      <c r="G41" s="23" t="n">
        <v>7.16</v>
      </c>
      <c r="H41" s="8" t="n">
        <v>203793.194421436</v>
      </c>
      <c r="I41" s="8" t="n">
        <v>16929.387520045</v>
      </c>
      <c r="J41" s="26" t="n">
        <v>0.083071</v>
      </c>
    </row>
    <row r="42" customFormat="false" ht="15" hidden="false" customHeight="false" outlineLevel="0" collapsed="false">
      <c r="A42" s="24" t="n">
        <v>45413</v>
      </c>
      <c r="B42" s="2" t="s">
        <v>60</v>
      </c>
      <c r="C42" s="25" t="n">
        <f aca="false">AVERAGEIFS(TPM_diaria!$B$2:$B$2008,TPM_diaria!$A$2:$A$2008,"&gt;="&amp;A42,TPM_diaria!$A$2:$A$2008,"&lt;="&amp;EOMONTH(A42,0))</f>
        <v>11.7661290322581</v>
      </c>
      <c r="D42" s="23" t="n">
        <v>11.75</v>
      </c>
      <c r="E42" s="23" t="n">
        <v>22.25</v>
      </c>
      <c r="F42" s="23" t="n">
        <v>142.92</v>
      </c>
      <c r="G42" s="23" t="n">
        <v>7.16</v>
      </c>
      <c r="H42" s="8" t="n">
        <v>203063.116380338</v>
      </c>
      <c r="I42" s="8" t="n">
        <v>16597.175320713</v>
      </c>
      <c r="J42" s="26" t="n">
        <v>0.081734</v>
      </c>
    </row>
    <row r="43" customFormat="false" ht="15" hidden="false" customHeight="false" outlineLevel="0" collapsed="false">
      <c r="A43" s="24" t="n">
        <v>45444</v>
      </c>
      <c r="B43" s="2" t="s">
        <v>60</v>
      </c>
      <c r="C43" s="25" t="n">
        <f aca="false">AVERAGEIFS(TPM_diaria!$B$2:$B$2008,TPM_diaria!$A$2:$A$2008,"&gt;="&amp;A43,TPM_diaria!$A$2:$A$2008,"&lt;="&amp;EOMONTH(A43,0))</f>
        <v>11.75</v>
      </c>
      <c r="D43" s="23" t="n">
        <v>11.75</v>
      </c>
      <c r="E43" s="23" t="n">
        <v>22.12</v>
      </c>
      <c r="F43" s="23" t="n">
        <v>143.38</v>
      </c>
      <c r="G43" s="23" t="n">
        <v>7.18</v>
      </c>
      <c r="H43" s="8" t="n">
        <v>201839.194642475</v>
      </c>
      <c r="I43" s="8" t="n">
        <v>16309.534604469</v>
      </c>
      <c r="J43" s="26" t="n">
        <v>0.080805</v>
      </c>
    </row>
    <row r="44" customFormat="false" ht="15" hidden="false" customHeight="false" outlineLevel="0" collapsed="false">
      <c r="A44" s="24" t="n">
        <v>45474</v>
      </c>
      <c r="B44" s="2" t="s">
        <v>61</v>
      </c>
      <c r="C44" s="25" t="n">
        <f aca="false">AVERAGEIFS(TPM_diaria!$B$2:$B$2008,TPM_diaria!$A$2:$A$2008,"&gt;="&amp;A44,TPM_diaria!$A$2:$A$2008,"&lt;="&amp;EOMONTH(A44,0))</f>
        <v>11.2661290322581</v>
      </c>
      <c r="D44" s="23" t="n">
        <v>11.25</v>
      </c>
      <c r="E44" s="23" t="n">
        <v>21.6</v>
      </c>
      <c r="F44" s="23" t="n">
        <v>143.67</v>
      </c>
      <c r="G44" s="23" t="n">
        <v>6.86</v>
      </c>
      <c r="H44" s="8" t="n">
        <v>200918.674448906</v>
      </c>
      <c r="I44" s="8" t="n">
        <v>15745.968810757</v>
      </c>
      <c r="J44" s="26" t="n">
        <v>0.07837</v>
      </c>
    </row>
    <row r="45" customFormat="false" ht="15" hidden="false" customHeight="false" outlineLevel="0" collapsed="false">
      <c r="A45" s="24" t="n">
        <v>45505</v>
      </c>
      <c r="B45" s="2" t="s">
        <v>61</v>
      </c>
      <c r="C45" s="25" t="n">
        <f aca="false">AVERAGEIFS(TPM_diaria!$B$2:$B$2008,TPM_diaria!$A$2:$A$2008,"&gt;="&amp;A45,TPM_diaria!$A$2:$A$2008,"&lt;="&amp;EOMONTH(A45,0))</f>
        <v>10.75</v>
      </c>
      <c r="D45" s="23" t="n">
        <v>10.75</v>
      </c>
      <c r="E45" s="23" t="n">
        <v>21.03</v>
      </c>
      <c r="F45" s="23" t="n">
        <v>143.67</v>
      </c>
      <c r="G45" s="23" t="n">
        <v>6.12</v>
      </c>
      <c r="H45" s="8" t="n">
        <v>200560.320150654</v>
      </c>
      <c r="I45" s="8" t="n">
        <v>15469.595217237</v>
      </c>
      <c r="J45" s="26" t="n">
        <v>0.077132</v>
      </c>
    </row>
    <row r="46" customFormat="false" ht="15" hidden="false" customHeight="false" outlineLevel="0" collapsed="false">
      <c r="A46" s="24" t="n">
        <v>45536</v>
      </c>
      <c r="B46" s="2" t="s">
        <v>61</v>
      </c>
      <c r="C46" s="25" t="n">
        <f aca="false">AVERAGEIFS(TPM_diaria!$B$2:$B$2008,TPM_diaria!$A$2:$A$2008,"&gt;="&amp;A46,TPM_diaria!$A$2:$A$2008,"&lt;="&amp;EOMONTH(A46,0))</f>
        <v>10.75</v>
      </c>
      <c r="D46" s="23" t="n">
        <v>10.75</v>
      </c>
      <c r="E46" s="23" t="n">
        <v>20.93</v>
      </c>
      <c r="F46" s="23" t="n">
        <v>144.02</v>
      </c>
      <c r="G46" s="23" t="n">
        <v>5.81</v>
      </c>
      <c r="H46" s="8" t="n">
        <v>200430.441045997</v>
      </c>
      <c r="I46" s="8" t="n">
        <v>15246.241874532</v>
      </c>
      <c r="J46" s="26" t="n">
        <v>0.076067</v>
      </c>
    </row>
    <row r="47" customFormat="false" ht="15" hidden="false" customHeight="false" outlineLevel="0" collapsed="false">
      <c r="A47" s="24" t="n">
        <v>45566</v>
      </c>
      <c r="B47" s="2" t="s">
        <v>62</v>
      </c>
      <c r="C47" s="25" t="n">
        <f aca="false">AVERAGEIFS(TPM_diaria!$B$2:$B$2008,TPM_diaria!$A$2:$A$2008,"&gt;="&amp;A47,TPM_diaria!$A$2:$A$2008,"&lt;="&amp;EOMONTH(A47,0))</f>
        <v>10.25</v>
      </c>
      <c r="D47" s="23" t="n">
        <v>10.25</v>
      </c>
      <c r="E47" s="23" t="n">
        <v>20.3</v>
      </c>
      <c r="F47" s="23" t="n">
        <v>143.83</v>
      </c>
      <c r="G47" s="23" t="n">
        <v>5.41</v>
      </c>
      <c r="H47" s="8" t="n">
        <v>200793.040315035</v>
      </c>
      <c r="I47" s="8" t="n">
        <v>14896.050551093</v>
      </c>
      <c r="J47" s="26" t="n">
        <v>0.074186</v>
      </c>
    </row>
    <row r="48" customFormat="false" ht="15" hidden="false" customHeight="false" outlineLevel="0" collapsed="false">
      <c r="A48" s="24" t="n">
        <v>45597</v>
      </c>
      <c r="B48" s="2" t="s">
        <v>62</v>
      </c>
      <c r="C48" s="25" t="n">
        <f aca="false">AVERAGEIFS(TPM_diaria!$B$2:$B$2008,TPM_diaria!$A$2:$A$2008,"&gt;="&amp;A48,TPM_diaria!$A$2:$A$2008,"&lt;="&amp;EOMONTH(A48,0))</f>
        <v>9.75</v>
      </c>
      <c r="D48" s="23" t="n">
        <v>9.75</v>
      </c>
      <c r="E48" s="23" t="n">
        <v>20.21</v>
      </c>
      <c r="F48" s="23" t="n">
        <v>144.22</v>
      </c>
      <c r="G48" s="23" t="n">
        <v>5.2</v>
      </c>
      <c r="H48" s="8" t="n">
        <v>203155.739181491</v>
      </c>
      <c r="I48" s="8" t="n">
        <v>14899.393860837</v>
      </c>
      <c r="J48" s="26" t="n">
        <v>0.07334</v>
      </c>
    </row>
    <row r="49" customFormat="false" ht="15" hidden="false" customHeight="false" outlineLevel="0" collapsed="false">
      <c r="A49" s="24" t="n">
        <v>45627</v>
      </c>
      <c r="B49" s="2" t="s">
        <v>62</v>
      </c>
      <c r="C49" s="25" t="n">
        <f aca="false">AVERAGEIFS(TPM_diaria!$B$2:$B$2008,TPM_diaria!$A$2:$A$2008,"&gt;="&amp;A49,TPM_diaria!$A$2:$A$2008,"&lt;="&amp;EOMONTH(A49,0))</f>
        <v>9.67741935483871</v>
      </c>
      <c r="D49" s="23" t="n">
        <v>9.75</v>
      </c>
      <c r="E49" s="23" t="n">
        <v>19.58</v>
      </c>
      <c r="F49" s="23" t="n">
        <v>144.88</v>
      </c>
      <c r="G49" s="23" t="n">
        <v>5.2</v>
      </c>
      <c r="H49" s="8" t="n">
        <v>202124.389420613</v>
      </c>
      <c r="I49" s="8" t="n">
        <v>13992.201218963</v>
      </c>
      <c r="J49" s="26" t="n">
        <v>0.069226</v>
      </c>
    </row>
    <row r="50" customFormat="false" ht="15" hidden="false" customHeight="false" outlineLevel="0" collapsed="false">
      <c r="A50" s="24" t="n">
        <v>45658</v>
      </c>
      <c r="B50" s="2" t="s">
        <v>63</v>
      </c>
      <c r="C50" s="25" t="n">
        <f aca="false">AVERAGEIFS(TPM_diaria!$B$2:$B$2008,TPM_diaria!$A$2:$A$2008,"&gt;="&amp;A50,TPM_diaria!$A$2:$A$2008,"&lt;="&amp;EOMONTH(A50,0))</f>
        <v>9.5</v>
      </c>
      <c r="D50" s="23" t="n">
        <v>9.5</v>
      </c>
      <c r="E50" s="23" t="n">
        <v>19.65</v>
      </c>
      <c r="F50" s="23" t="n">
        <v>146.24</v>
      </c>
      <c r="G50" s="23" t="n">
        <v>5.22</v>
      </c>
      <c r="H50" s="8" t="n">
        <v>201018.668147063</v>
      </c>
      <c r="I50" s="8" t="n">
        <v>13793.240329659</v>
      </c>
      <c r="J50" s="26" t="n">
        <v>0.068617</v>
      </c>
    </row>
    <row r="51" customFormat="false" ht="15" hidden="false" customHeight="false" outlineLevel="0" collapsed="false">
      <c r="A51" s="24" t="n">
        <v>45689</v>
      </c>
      <c r="B51" s="2" t="s">
        <v>63</v>
      </c>
      <c r="C51" s="25" t="n">
        <f aca="false">AVERAGEIFS(TPM_diaria!$B$2:$B$2008,TPM_diaria!$A$2:$A$2008,"&gt;="&amp;A51,TPM_diaria!$A$2:$A$2008,"&lt;="&amp;EOMONTH(A51,0))</f>
        <v>9.5</v>
      </c>
      <c r="D51" s="23" t="n">
        <v>9.5</v>
      </c>
      <c r="E51" s="23" t="n">
        <v>19.4</v>
      </c>
      <c r="F51" s="23" t="n">
        <v>147.9</v>
      </c>
      <c r="G51" s="23" t="n">
        <v>5.28</v>
      </c>
      <c r="H51" s="8" t="n">
        <v>201091.463080661</v>
      </c>
      <c r="I51" s="8" t="n">
        <v>13531.268372174</v>
      </c>
      <c r="J51" s="26" t="n">
        <v>0.067289</v>
      </c>
    </row>
    <row r="52" customFormat="false" ht="15" hidden="false" customHeight="false" outlineLevel="0" collapsed="false">
      <c r="A52" s="24" t="n">
        <v>45717</v>
      </c>
      <c r="B52" s="2" t="s">
        <v>63</v>
      </c>
      <c r="C52" s="25" t="n">
        <f aca="false">AVERAGEIFS(TPM_diaria!$B$2:$B$2008,TPM_diaria!$A$2:$A$2008,"&gt;="&amp;A52,TPM_diaria!$A$2:$A$2008,"&lt;="&amp;EOMONTH(A52,0))</f>
        <v>9.5</v>
      </c>
      <c r="D52" s="23" t="n">
        <v>9.5</v>
      </c>
      <c r="E52" s="23" t="n">
        <v>19.35</v>
      </c>
      <c r="F52" s="23" t="n">
        <v>148.68</v>
      </c>
      <c r="G52" s="23" t="n">
        <v>5.09</v>
      </c>
      <c r="H52" s="8" t="n">
        <v>201289.123001538</v>
      </c>
      <c r="I52" s="8" t="n">
        <v>13184.570133077</v>
      </c>
      <c r="J52" s="26" t="n">
        <v>0.065501</v>
      </c>
    </row>
    <row r="53" customFormat="false" ht="15" hidden="false" customHeight="false" outlineLevel="0" collapsed="false">
      <c r="A53" s="24" t="n">
        <v>45748</v>
      </c>
      <c r="B53" s="2" t="s">
        <v>64</v>
      </c>
      <c r="C53" s="25" t="n">
        <f aca="false">AVERAGEIFS(TPM_diaria!$B$2:$B$2008,TPM_diaria!$A$2:$A$2008,"&gt;="&amp;A53,TPM_diaria!$A$2:$A$2008,"&lt;="&amp;EOMONTH(A53,0))</f>
        <v>9.5</v>
      </c>
      <c r="D53" s="23" t="n">
        <v>9.5</v>
      </c>
      <c r="E53" s="23" t="n">
        <v>19.51</v>
      </c>
      <c r="F53" s="23" t="n">
        <v>149.66</v>
      </c>
      <c r="G53" s="23" t="n">
        <v>5.16</v>
      </c>
      <c r="H53" s="8" t="n">
        <v>202311.762265509</v>
      </c>
      <c r="I53" s="8" t="n">
        <v>12871.449462968</v>
      </c>
      <c r="J53" s="26" t="n">
        <v>0.063622</v>
      </c>
    </row>
    <row r="54" customFormat="false" ht="15" hidden="false" customHeight="false" outlineLevel="0" collapsed="false">
      <c r="A54" s="24" t="n">
        <v>45778</v>
      </c>
      <c r="B54" s="2" t="s">
        <v>64</v>
      </c>
      <c r="C54" s="25" t="n">
        <f aca="false">AVERAGEIFS(TPM_diaria!$B$2:$B$2008,TPM_diaria!$A$2:$A$2008,"&gt;="&amp;A54,TPM_diaria!$A$2:$A$2008,"&lt;="&amp;EOMONTH(A54,0))</f>
        <v>9.25806451612903</v>
      </c>
      <c r="D54" s="23" t="n">
        <v>9.25</v>
      </c>
      <c r="E54" s="23" t="n">
        <v>19.29</v>
      </c>
      <c r="F54" s="23" t="n">
        <v>150.14</v>
      </c>
      <c r="G54" s="23" t="n">
        <v>5.05</v>
      </c>
      <c r="H54" s="8" t="n">
        <v>203636.336397718</v>
      </c>
      <c r="I54" s="8" t="n">
        <v>12471.727253074</v>
      </c>
      <c r="J54" s="26" t="n">
        <v>0.061245</v>
      </c>
    </row>
    <row r="55" customFormat="false" ht="15" hidden="false" customHeight="false" outlineLevel="0" collapsed="false">
      <c r="A55" s="24" t="n">
        <v>45809</v>
      </c>
      <c r="B55" s="2" t="s">
        <v>64</v>
      </c>
      <c r="C55" s="25" t="n">
        <f aca="false">AVERAGEIFS(TPM_diaria!$B$2:$B$2008,TPM_diaria!$A$2:$A$2008,"&gt;="&amp;A55,TPM_diaria!$A$2:$A$2008,"&lt;="&amp;EOMONTH(A55,0))</f>
        <v>9.25</v>
      </c>
      <c r="D55" s="23" t="n">
        <v>9.25</v>
      </c>
      <c r="E55" s="23" t="n">
        <v>19.06</v>
      </c>
      <c r="F55" s="23" t="n">
        <v>150.3</v>
      </c>
      <c r="G55" s="23" t="n">
        <v>4.82</v>
      </c>
      <c r="H55" s="8" t="n">
        <v>204000.596762225</v>
      </c>
      <c r="I55" s="8" t="n">
        <v>12192.611800386</v>
      </c>
      <c r="J55" s="26" t="n">
        <v>0.059768</v>
      </c>
    </row>
    <row r="56" customFormat="false" ht="15" hidden="false" customHeight="false" outlineLevel="0" collapsed="false">
      <c r="A56" s="24" t="n">
        <v>45839</v>
      </c>
      <c r="B56" s="2" t="s">
        <v>65</v>
      </c>
      <c r="C56" s="25" t="n">
        <f aca="false">AVERAGEIFS(TPM_diaria!$B$2:$B$2008,TPM_diaria!$A$2:$A$2008,"&gt;="&amp;A56,TPM_diaria!$A$2:$A$2008,"&lt;="&amp;EOMONTH(A56,0))</f>
        <v>9.25</v>
      </c>
      <c r="D56" s="23" t="n">
        <v>9.25</v>
      </c>
      <c r="E56" s="23" t="n">
        <v>18.9</v>
      </c>
      <c r="F56" s="23" t="n">
        <v>150.71</v>
      </c>
      <c r="G56" s="23" t="n">
        <v>4.9</v>
      </c>
      <c r="H56" s="8" t="n">
        <v>205579.23420802</v>
      </c>
      <c r="I56" s="8" t="n">
        <v>11619.788022662</v>
      </c>
      <c r="J56" s="26" t="n">
        <v>0.056522</v>
      </c>
    </row>
    <row r="57" customFormat="false" ht="15" hidden="false" customHeight="false" outlineLevel="0" collapsed="false">
      <c r="A57" s="24" t="n">
        <v>45870</v>
      </c>
      <c r="B57" s="2" t="s">
        <v>65</v>
      </c>
      <c r="C57" s="25" t="n">
        <f aca="false">AVERAGEIFS(TPM_diaria!$B$2:$B$2008,TPM_diaria!$A$2:$A$2008,"&gt;="&amp;A57,TPM_diaria!$A$2:$A$2008,"&lt;="&amp;EOMONTH(A57,0))</f>
        <v>9.25</v>
      </c>
      <c r="D57" s="23" t="n">
        <v>9.25</v>
      </c>
      <c r="E57" s="23" t="n">
        <v>18.73</v>
      </c>
      <c r="F57" s="23" t="n">
        <v>150.99</v>
      </c>
      <c r="G57" s="23" t="n">
        <v>5.1</v>
      </c>
      <c r="H57" s="8" t="n">
        <v>206919.936459131</v>
      </c>
      <c r="I57" s="8" t="n">
        <v>11468.23894991</v>
      </c>
      <c r="J57" s="26" t="n">
        <v>0.055424</v>
      </c>
    </row>
    <row r="58" customFormat="false" ht="15" hidden="false" customHeight="false" outlineLevel="0" collapsed="false">
      <c r="A58" s="24" t="n">
        <v>45901</v>
      </c>
      <c r="B58" s="2" t="s">
        <v>65</v>
      </c>
      <c r="C58" s="25" t="n">
        <f aca="false">AVERAGEIFS(TPM_diaria!$B$2:$B$2008,TPM_diaria!$A$2:$A$2008,"&gt;="&amp;A58,TPM_diaria!$A$2:$A$2008,"&lt;="&amp;EOMONTH(A58,0))</f>
        <v>9.25</v>
      </c>
      <c r="D58" s="23" t="n">
        <v>9.25</v>
      </c>
      <c r="E58" s="23" t="n">
        <v>18.92</v>
      </c>
      <c r="F58" s="23" t="n">
        <v>151.48</v>
      </c>
      <c r="G58" s="23" t="n">
        <v>5.18</v>
      </c>
      <c r="H58" s="8" t="n">
        <v>209338.97582604</v>
      </c>
      <c r="I58" s="8" t="n">
        <v>11252.699394355</v>
      </c>
      <c r="J58" s="26" t="n">
        <v>0.053753</v>
      </c>
    </row>
    <row r="59" customFormat="false" ht="15" hidden="false" customHeight="false" outlineLevel="0" collapsed="false">
      <c r="A59" s="24" t="n">
        <v>45931</v>
      </c>
      <c r="B59" s="2" t="s">
        <v>66</v>
      </c>
      <c r="C59" s="25" t="n">
        <f aca="false">AVERAGEIFS(TPM_diaria!$B$2:$B$2008,TPM_diaria!$A$2:$A$2008,"&gt;="&amp;A59,TPM_diaria!$A$2:$A$2008,"&lt;="&amp;EOMONTH(A59,0))</f>
        <v>9.25</v>
      </c>
      <c r="D59" s="23" t="n">
        <v>9.25</v>
      </c>
      <c r="E59" s="23" t="n">
        <v>18.69</v>
      </c>
      <c r="F59" s="23" t="n">
        <v>151.76</v>
      </c>
      <c r="G59" s="23" t="n">
        <v>5.51</v>
      </c>
      <c r="H59" s="8" t="n">
        <v>211805.510845033</v>
      </c>
      <c r="I59" s="8" t="n">
        <v>11232.017318811</v>
      </c>
      <c r="J59" s="26" t="n">
        <v>0.05303</v>
      </c>
    </row>
    <row r="60" customFormat="false" ht="15" hidden="false" customHeight="false" outlineLevel="0" collapsed="false">
      <c r="A60" s="24" t="n">
        <v>45962</v>
      </c>
      <c r="B60" s="2" t="s">
        <v>66</v>
      </c>
      <c r="C60" s="25" t="n">
        <f aca="false">AVERAGEIFS(TPM_diaria!$B$2:$B$2008,TPM_diaria!$A$2:$A$2008,"&gt;="&amp;A60,TPM_diaria!$A$2:$A$2008,"&lt;="&amp;EOMONTH(A60,0))</f>
        <v>9.25</v>
      </c>
      <c r="D60" s="23" t="n">
        <v>9.25</v>
      </c>
      <c r="E60" s="23" t="n">
        <v>19.03</v>
      </c>
      <c r="F60" s="23" t="n">
        <v>151.87</v>
      </c>
      <c r="G60" s="23" t="n">
        <v>5.3</v>
      </c>
      <c r="H60" s="8" t="n">
        <v>214604.681716046</v>
      </c>
      <c r="I60" s="8" t="n">
        <v>11289.4085307</v>
      </c>
      <c r="J60" s="26" t="n">
        <v>0.052606</v>
      </c>
    </row>
    <row r="61" customFormat="false" ht="15" hidden="false" customHeight="false" outlineLevel="0" collapsed="false">
      <c r="A61" s="24" t="n">
        <v>45992</v>
      </c>
      <c r="B61" s="2" t="s">
        <v>66</v>
      </c>
      <c r="C61" s="25" t="n">
        <f aca="false">AVERAGEIFS(TPM_diaria!$B$2:$B$2008,TPM_diaria!$A$2:$A$2008,"&gt;="&amp;A61,TPM_diaria!$A$2:$A$2008,"&lt;="&amp;EOMONTH(A61,0))</f>
        <v>9.25</v>
      </c>
      <c r="D61" s="23" t="n">
        <v>9.25</v>
      </c>
      <c r="E61" s="23" t="n">
        <v>19.23</v>
      </c>
      <c r="F61" s="23" t="n">
        <v>152.27</v>
      </c>
      <c r="G61" s="23" t="n">
        <v>5.1</v>
      </c>
      <c r="H61" s="8" t="n">
        <v>215901.946149173</v>
      </c>
      <c r="I61" s="8" t="n">
        <v>10804.101135326</v>
      </c>
      <c r="J61" s="26" t="n">
        <v>0.050042</v>
      </c>
    </row>
    <row r="62" customFormat="false" ht="15" hidden="false" customHeight="false" outlineLevel="0" collapsed="false">
      <c r="A62" s="24" t="n">
        <v>46023</v>
      </c>
      <c r="B62" s="2" t="s">
        <v>67</v>
      </c>
      <c r="C62" s="25" t="n">
        <f aca="false">AVERAGEIFS(TPM_diaria!$B$2:$B$2008,TPM_diaria!$A$2:$A$2008,"&gt;="&amp;A62,TPM_diaria!$A$2:$A$2008,"&lt;="&amp;EOMONTH(A62,0))</f>
        <v>9.25</v>
      </c>
      <c r="D62" s="23" t="n">
        <v>9.25</v>
      </c>
      <c r="E62" s="23" t="n">
        <v>19.6</v>
      </c>
      <c r="F62" s="23" t="n">
        <v>154.07</v>
      </c>
      <c r="G62" s="23" t="n">
        <v>5.35</v>
      </c>
      <c r="H62" s="8" t="n">
        <v>216900.795060693</v>
      </c>
      <c r="I62" s="8" t="n">
        <v>10989.86306169</v>
      </c>
      <c r="J62" s="26" t="n">
        <v>0.050668</v>
      </c>
    </row>
    <row r="63" customFormat="false" ht="15" hidden="false" customHeight="false" outlineLevel="0" collapsed="false">
      <c r="A63" s="24" t="n">
        <v>46054</v>
      </c>
      <c r="B63" s="2" t="s">
        <v>67</v>
      </c>
      <c r="C63" s="25" t="n">
        <f aca="false">AVERAGEIFS(TPM_diaria!$B$2:$B$2008,TPM_diaria!$A$2:$A$2008,"&gt;="&amp;A63,TPM_diaria!$A$2:$A$2008,"&lt;="&amp;EOMONTH(A63,0))</f>
        <v>10.2142857142857</v>
      </c>
      <c r="D63" s="23" t="n">
        <v>10.25</v>
      </c>
      <c r="E63" s="23" t="n">
        <v>19.81</v>
      </c>
      <c r="F63" s="23" t="n">
        <v>155.73</v>
      </c>
      <c r="G63" s="23" t="n">
        <v>5.29</v>
      </c>
      <c r="H63" s="8" t="n">
        <v>218278.314597058</v>
      </c>
      <c r="I63" s="8" t="n">
        <v>11136.587530253</v>
      </c>
      <c r="J63" s="26" t="n">
        <v>0.05102</v>
      </c>
    </row>
    <row r="64" customFormat="false" ht="15" hidden="false" customHeight="false" outlineLevel="0" collapsed="false">
      <c r="A64" s="24" t="n">
        <v>46082</v>
      </c>
      <c r="B64" s="2" t="s">
        <v>67</v>
      </c>
      <c r="C64" s="25" t="n">
        <f aca="false">AVERAGEIFS(TPM_diaria!$B$2:$B$2008,TPM_diaria!$A$2:$A$2008,"&gt;="&amp;A64,TPM_diaria!$A$2:$A$2008,"&lt;="&amp;EOMONTH(A64,0))</f>
        <v>10.25</v>
      </c>
      <c r="D64" s="23" t="n">
        <v>10.25</v>
      </c>
      <c r="E64" s="23" t="n">
        <v>20.45</v>
      </c>
      <c r="F64" s="23" t="n">
        <v>156.94</v>
      </c>
      <c r="G64" s="23" t="n">
        <v>5.56</v>
      </c>
      <c r="H64" s="8" t="n">
        <v>219666.698877726</v>
      </c>
      <c r="I64" s="8" t="n">
        <v>11024.834282311</v>
      </c>
      <c r="J64" s="26" t="n">
        <v>0.050189</v>
      </c>
    </row>
    <row r="65" customFormat="false" ht="15" hidden="false" customHeight="false" outlineLevel="0" collapsed="false">
      <c r="A65" s="24" t="n">
        <v>46113</v>
      </c>
      <c r="B65" s="2" t="s">
        <v>68</v>
      </c>
      <c r="C65" s="25" t="n">
        <f aca="false">AVERAGEIFS(TPM_diaria!$B$2:$B$2008,TPM_diaria!$A$2:$A$2008,"&gt;="&amp;A65,TPM_diaria!$A$2:$A$2008,"&lt;="&amp;EOMONTH(A65,0))</f>
        <v>11.25</v>
      </c>
      <c r="D65" s="23" t="n">
        <v>11.25</v>
      </c>
      <c r="E65" s="23" t="n">
        <v>21.01</v>
      </c>
      <c r="F65" s="23" t="n">
        <v>158.17</v>
      </c>
      <c r="G65" s="23" t="n">
        <v>5.68</v>
      </c>
      <c r="H65" s="8" t="n">
        <v>221787.76942522</v>
      </c>
      <c r="I65" s="8" t="n">
        <v>11104.85477457</v>
      </c>
      <c r="J65" s="26" t="n">
        <v>0.05007</v>
      </c>
    </row>
    <row r="66" customFormat="false" ht="15" hidden="false" customHeight="false" outlineLevel="0" collapsed="false">
      <c r="A66" s="24" t="n">
        <v>46143</v>
      </c>
      <c r="B66" s="2" t="s">
        <v>68</v>
      </c>
      <c r="C66" s="25" t="n">
        <f aca="false">AVERAGEIFS(TPM_diaria!$B$2:$B$2008,TPM_diaria!$A$2:$A$2008,"&gt;="&amp;A66,TPM_diaria!$A$2:$A$2008,"&lt;="&amp;EOMONTH(A66,0))</f>
        <v>11.25</v>
      </c>
      <c r="D66" s="23" t="n">
        <v>11.25</v>
      </c>
      <c r="E66" s="23" t="n">
        <v>21.38</v>
      </c>
      <c r="F66" s="23" t="n">
        <v>158.91</v>
      </c>
      <c r="G66" s="23" t="n">
        <v>5.84</v>
      </c>
      <c r="H66" s="8" t="n">
        <v>223543.54040321</v>
      </c>
      <c r="I66" s="8" t="n">
        <v>11186.161107539</v>
      </c>
      <c r="J66" s="26" t="n">
        <v>0.05004</v>
      </c>
    </row>
    <row r="67" customFormat="false" ht="15" hidden="false" customHeight="false" outlineLevel="0" collapsed="false">
      <c r="A67" s="24" t="n">
        <v>46174</v>
      </c>
      <c r="B67" s="2" t="s">
        <v>68</v>
      </c>
      <c r="C67" s="25" t="n">
        <f aca="false">AVERAGEIFS(TPM_diaria!$B$2:$B$2008,TPM_diaria!$A$2:$A$2008,"&gt;="&amp;A67,TPM_diaria!$A$2:$A$2008,"&lt;="&amp;EOMONTH(A67,0))</f>
        <v>11.25</v>
      </c>
      <c r="D67" s="23" t="n">
        <v>11.25</v>
      </c>
      <c r="E67" s="23" t="n">
        <v>21.85</v>
      </c>
      <c r="F67" s="23" t="n">
        <v>159.53</v>
      </c>
      <c r="G67" s="23" t="n">
        <v>6.14</v>
      </c>
      <c r="H67" s="8" t="n">
        <v>224646.114167768</v>
      </c>
      <c r="I67" s="8" t="n">
        <v>11187.691500332</v>
      </c>
      <c r="J67" s="26" t="n">
        <v>0.049801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</cols>
  <sheetData>
    <row r="1" customFormat="false" ht="16.15" hidden="false" customHeight="false" outlineLevel="0" collapsed="false">
      <c r="A1" s="1" t="s">
        <v>155</v>
      </c>
    </row>
    <row r="3" customFormat="false" ht="43.5" hidden="false" customHeight="true" outlineLevel="0" collapsed="false">
      <c r="A3" s="6" t="s">
        <v>21</v>
      </c>
      <c r="B3" s="6" t="s">
        <v>156</v>
      </c>
      <c r="C3" s="6" t="s">
        <v>157</v>
      </c>
      <c r="D3" s="6" t="s">
        <v>158</v>
      </c>
      <c r="E3" s="6" t="s">
        <v>159</v>
      </c>
      <c r="F3" s="6" t="s">
        <v>160</v>
      </c>
      <c r="G3" s="6" t="s">
        <v>158</v>
      </c>
      <c r="H3" s="6" t="s">
        <v>161</v>
      </c>
      <c r="I3" s="6" t="s">
        <v>162</v>
      </c>
      <c r="J3" s="6" t="s">
        <v>163</v>
      </c>
    </row>
    <row r="4" customFormat="false" ht="15" hidden="false" customHeight="false" outlineLevel="0" collapsed="false">
      <c r="A4" s="3" t="s">
        <v>47</v>
      </c>
      <c r="B4" s="27" t="n">
        <f aca="false">Base_trimestral!M9</f>
        <v>6.08674590693788</v>
      </c>
      <c r="C4" s="27" t="n">
        <f aca="false">100*Mensual!J4</f>
        <v>6.0867</v>
      </c>
      <c r="D4" s="28" t="n">
        <f aca="false">B4-C4</f>
        <v>4.59069378759835E-005</v>
      </c>
      <c r="E4" s="27" t="n">
        <f aca="false">Base_trimestral!P9</f>
        <v>2.56392814467741</v>
      </c>
      <c r="F4" s="29" t="n">
        <v>2.56392814467741</v>
      </c>
      <c r="G4" s="28" t="n">
        <f aca="false">E4-F4</f>
        <v>0</v>
      </c>
      <c r="H4" s="25" t="n">
        <f aca="false">Base_trimestral!B9</f>
        <v>1.75</v>
      </c>
      <c r="I4" s="25" t="n">
        <f aca="false">AVERAGE(Mensual!D2:D4)</f>
        <v>1.75</v>
      </c>
      <c r="J4" s="30" t="n">
        <f aca="false">H4-I4</f>
        <v>0</v>
      </c>
    </row>
    <row r="5" customFormat="false" ht="15" hidden="false" customHeight="false" outlineLevel="0" collapsed="false">
      <c r="A5" s="3" t="s">
        <v>48</v>
      </c>
      <c r="B5" s="27" t="n">
        <f aca="false">Base_trimestral!M10</f>
        <v>5.50431131705203</v>
      </c>
      <c r="C5" s="27" t="n">
        <f aca="false">100*Mensual!J7</f>
        <v>5.5043</v>
      </c>
      <c r="D5" s="28" t="n">
        <f aca="false">B5-C5</f>
        <v>1.13170520261718E-005</v>
      </c>
      <c r="E5" s="27" t="n">
        <f aca="false">Base_trimestral!P10</f>
        <v>-1.71014102282554</v>
      </c>
      <c r="F5" s="29" t="n">
        <v>-1.71014102282554</v>
      </c>
      <c r="G5" s="28" t="n">
        <f aca="false">E5-F5</f>
        <v>0</v>
      </c>
      <c r="H5" s="25" t="n">
        <f aca="false">Base_trimestral!B10</f>
        <v>1.75</v>
      </c>
      <c r="I5" s="25" t="n">
        <f aca="false">AVERAGE(Mensual!D5:D7)</f>
        <v>1.75</v>
      </c>
      <c r="J5" s="30" t="n">
        <f aca="false">H5-I5</f>
        <v>0</v>
      </c>
    </row>
    <row r="6" customFormat="false" ht="15" hidden="false" customHeight="false" outlineLevel="0" collapsed="false">
      <c r="A6" s="3" t="s">
        <v>49</v>
      </c>
      <c r="B6" s="27" t="n">
        <f aca="false">Base_trimestral!M11</f>
        <v>5.05679293934756</v>
      </c>
      <c r="C6" s="27" t="n">
        <f aca="false">100*Mensual!J10</f>
        <v>5.0568</v>
      </c>
      <c r="D6" s="28" t="n">
        <f aca="false">B6-C6</f>
        <v>-7.06065243694098E-006</v>
      </c>
      <c r="E6" s="27" t="n">
        <f aca="false">Base_trimestral!P11</f>
        <v>6.25594574970625</v>
      </c>
      <c r="F6" s="29" t="n">
        <v>6.25594574970624</v>
      </c>
      <c r="G6" s="28" t="n">
        <f aca="false">E6-F6</f>
        <v>0</v>
      </c>
      <c r="H6" s="25" t="n">
        <f aca="false">Base_trimestral!B11</f>
        <v>1.75</v>
      </c>
      <c r="I6" s="25" t="n">
        <f aca="false">AVERAGE(Mensual!D8:D10)</f>
        <v>1.75</v>
      </c>
      <c r="J6" s="30" t="n">
        <f aca="false">H6-I6</f>
        <v>0</v>
      </c>
    </row>
    <row r="7" customFormat="false" ht="15" hidden="false" customHeight="false" outlineLevel="0" collapsed="false">
      <c r="A7" s="3" t="s">
        <v>50</v>
      </c>
      <c r="B7" s="27" t="n">
        <f aca="false">Base_trimestral!M12</f>
        <v>4.43468432503752</v>
      </c>
      <c r="C7" s="27" t="n">
        <f aca="false">100*Mensual!J13</f>
        <v>4.4347</v>
      </c>
      <c r="D7" s="28" t="n">
        <f aca="false">B7-C7</f>
        <v>-1.56749624764529E-005</v>
      </c>
      <c r="E7" s="27" t="n">
        <f aca="false">Base_trimestral!P12</f>
        <v>6.39184725878796</v>
      </c>
      <c r="F7" s="29" t="n">
        <v>6.39184725878796</v>
      </c>
      <c r="G7" s="28" t="n">
        <f aca="false">E7-F7</f>
        <v>0</v>
      </c>
      <c r="H7" s="25" t="n">
        <f aca="false">Base_trimestral!B12</f>
        <v>2.39229390681004</v>
      </c>
      <c r="I7" s="25" t="n">
        <f aca="false">AVERAGE(Mensual!D11:D13)</f>
        <v>2.33333333333333</v>
      </c>
      <c r="J7" s="30" t="n">
        <f aca="false">H7-I7</f>
        <v>0.0589605734767025</v>
      </c>
    </row>
    <row r="8" customFormat="false" ht="15" hidden="false" customHeight="false" outlineLevel="0" collapsed="false">
      <c r="A8" s="3" t="s">
        <v>51</v>
      </c>
      <c r="B8" s="27" t="n">
        <f aca="false">Base_trimestral!M13</f>
        <v>4.40323458543003</v>
      </c>
      <c r="C8" s="27" t="n">
        <f aca="false">100*Mensual!J16</f>
        <v>4.4032</v>
      </c>
      <c r="D8" s="28" t="n">
        <f aca="false">B8-C8</f>
        <v>3.45854300283222E-005</v>
      </c>
      <c r="E8" s="27" t="n">
        <f aca="false">Base_trimestral!P13</f>
        <v>0.991503109629122</v>
      </c>
      <c r="F8" s="29" t="n">
        <v>0.991503109629122</v>
      </c>
      <c r="G8" s="28" t="n">
        <f aca="false">E8-F8</f>
        <v>0</v>
      </c>
      <c r="H8" s="25" t="n">
        <f aca="false">Base_trimestral!B13</f>
        <v>3.67741935483871</v>
      </c>
      <c r="I8" s="25" t="n">
        <f aca="false">AVERAGE(Mensual!D14:D16)</f>
        <v>3.66666666666667</v>
      </c>
      <c r="J8" s="30" t="n">
        <f aca="false">H8-I8</f>
        <v>0.010752688172043</v>
      </c>
    </row>
    <row r="9" customFormat="false" ht="15" hidden="false" customHeight="false" outlineLevel="0" collapsed="false">
      <c r="A9" s="3" t="s">
        <v>52</v>
      </c>
      <c r="B9" s="27" t="n">
        <f aca="false">Base_trimestral!M14</f>
        <v>4.67395344851443</v>
      </c>
      <c r="C9" s="27" t="n">
        <f aca="false">100*Mensual!J19</f>
        <v>4.674</v>
      </c>
      <c r="D9" s="28" t="n">
        <f aca="false">B9-C9</f>
        <v>-4.65514855729765E-005</v>
      </c>
      <c r="E9" s="27" t="n">
        <f aca="false">Base_trimestral!P14</f>
        <v>1.96155125426776</v>
      </c>
      <c r="F9" s="29" t="n">
        <v>1.96155125426776</v>
      </c>
      <c r="G9" s="28" t="n">
        <f aca="false">E9-F9</f>
        <v>0</v>
      </c>
      <c r="H9" s="25" t="n">
        <f aca="false">Base_trimestral!B14</f>
        <v>5.65591397849462</v>
      </c>
      <c r="I9" s="25" t="n">
        <f aca="false">AVERAGE(Mensual!D17:D19)</f>
        <v>5.66666666666667</v>
      </c>
      <c r="J9" s="30" t="n">
        <f aca="false">H9-I9</f>
        <v>-0.010752688172043</v>
      </c>
    </row>
    <row r="10" customFormat="false" ht="15" hidden="false" customHeight="false" outlineLevel="0" collapsed="false">
      <c r="A10" s="3" t="s">
        <v>53</v>
      </c>
      <c r="B10" s="27" t="n">
        <f aca="false">Base_trimestral!M15</f>
        <v>4.9339933060326</v>
      </c>
      <c r="C10" s="27" t="n">
        <f aca="false">100*Mensual!J22</f>
        <v>4.934</v>
      </c>
      <c r="D10" s="28" t="n">
        <f aca="false">B10-C10</f>
        <v>-6.69396739816364E-006</v>
      </c>
      <c r="E10" s="27" t="n">
        <f aca="false">Base_trimestral!P15</f>
        <v>1.0604407994979</v>
      </c>
      <c r="F10" s="29" t="n">
        <v>1.0604407994979</v>
      </c>
      <c r="G10" s="28" t="n">
        <f aca="false">E10-F10</f>
        <v>0</v>
      </c>
      <c r="H10" s="25" t="n">
        <f aca="false">Base_trimestral!B15</f>
        <v>8.51111111111111</v>
      </c>
      <c r="I10" s="25" t="n">
        <f aca="false">AVERAGE(Mensual!D20:D22)</f>
        <v>8.5</v>
      </c>
      <c r="J10" s="30" t="n">
        <f aca="false">H10-I10</f>
        <v>0.0111111111111111</v>
      </c>
    </row>
    <row r="11" customFormat="false" ht="15" hidden="false" customHeight="false" outlineLevel="0" collapsed="false">
      <c r="A11" s="3" t="s">
        <v>54</v>
      </c>
      <c r="B11" s="27" t="n">
        <f aca="false">Base_trimestral!M16</f>
        <v>5.50475252592911</v>
      </c>
      <c r="C11" s="27" t="n">
        <f aca="false">100*Mensual!J25</f>
        <v>5.5048</v>
      </c>
      <c r="D11" s="28" t="n">
        <f aca="false">B11-C11</f>
        <v>-4.74740708886756E-005</v>
      </c>
      <c r="E11" s="27" t="n">
        <f aca="false">Base_trimestral!P16</f>
        <v>0.519915881784394</v>
      </c>
      <c r="F11" s="29" t="n">
        <v>0.519915881784399</v>
      </c>
      <c r="G11" s="28" t="n">
        <f aca="false">E11-F11</f>
        <v>-5.32907051820075E-015</v>
      </c>
      <c r="H11" s="25" t="n">
        <f aca="false">Base_trimestral!B16</f>
        <v>10.8172043010753</v>
      </c>
      <c r="I11" s="25" t="n">
        <f aca="false">AVERAGE(Mensual!D23:D25)</f>
        <v>10.6666666666667</v>
      </c>
      <c r="J11" s="30" t="n">
        <f aca="false">H11-I11</f>
        <v>0.150537634408604</v>
      </c>
    </row>
    <row r="12" customFormat="false" ht="15" hidden="false" customHeight="false" outlineLevel="0" collapsed="false">
      <c r="A12" s="3" t="s">
        <v>55</v>
      </c>
      <c r="B12" s="27" t="n">
        <f aca="false">Base_trimestral!M17</f>
        <v>6.74324121587014</v>
      </c>
      <c r="C12" s="27" t="n">
        <f aca="false">100*Mensual!J28</f>
        <v>6.7432</v>
      </c>
      <c r="D12" s="28" t="n">
        <f aca="false">B12-C12</f>
        <v>4.12158701408316E-005</v>
      </c>
      <c r="E12" s="27" t="n">
        <f aca="false">Base_trimestral!P17</f>
        <v>-0.748686527518228</v>
      </c>
      <c r="F12" s="29" t="n">
        <v>-0.748686527518231</v>
      </c>
      <c r="G12" s="28" t="n">
        <f aca="false">E12-F12</f>
        <v>3.5527136788005E-015</v>
      </c>
      <c r="H12" s="25" t="n">
        <f aca="false">Base_trimestral!B17</f>
        <v>12.5188172043011</v>
      </c>
      <c r="I12" s="25" t="n">
        <f aca="false">AVERAGE(Mensual!D26:D28)</f>
        <v>12.5</v>
      </c>
      <c r="J12" s="30" t="n">
        <f aca="false">H12-I12</f>
        <v>0.0188172043010741</v>
      </c>
    </row>
    <row r="13" customFormat="false" ht="15" hidden="false" customHeight="false" outlineLevel="0" collapsed="false">
      <c r="A13" s="3" t="s">
        <v>56</v>
      </c>
      <c r="B13" s="27" t="n">
        <f aca="false">Base_trimestral!M18</f>
        <v>7.53852355510655</v>
      </c>
      <c r="C13" s="27" t="n">
        <f aca="false">100*Mensual!J31</f>
        <v>7.5385</v>
      </c>
      <c r="D13" s="28" t="n">
        <f aca="false">B13-C13</f>
        <v>2.35551065488338E-005</v>
      </c>
      <c r="E13" s="27" t="n">
        <f aca="false">Base_trimestral!P18</f>
        <v>-0.218115210952319</v>
      </c>
      <c r="F13" s="29" t="n">
        <v>-0.21811521095232</v>
      </c>
      <c r="G13" s="28" t="n">
        <f aca="false">E13-F13</f>
        <v>9.15933995315754E-016</v>
      </c>
      <c r="H13" s="25" t="n">
        <f aca="false">Base_trimestral!B18</f>
        <v>13.1639784946237</v>
      </c>
      <c r="I13" s="25" t="n">
        <f aca="false">AVERAGE(Mensual!D29:D31)</f>
        <v>13.1666666666667</v>
      </c>
      <c r="J13" s="30" t="n">
        <f aca="false">H13-I13</f>
        <v>-0.00268817204301008</v>
      </c>
    </row>
    <row r="14" customFormat="false" ht="15" hidden="false" customHeight="false" outlineLevel="0" collapsed="false">
      <c r="A14" s="3" t="s">
        <v>57</v>
      </c>
      <c r="B14" s="27" t="n">
        <f aca="false">Base_trimestral!M19</f>
        <v>7.78447995550928</v>
      </c>
      <c r="C14" s="27" t="n">
        <f aca="false">100*Mensual!J34</f>
        <v>7.7845</v>
      </c>
      <c r="D14" s="28" t="n">
        <f aca="false">B14-C14</f>
        <v>-2.00444907241248E-005</v>
      </c>
      <c r="E14" s="27" t="n">
        <f aca="false">Base_trimestral!P19</f>
        <v>-0.0861846955078516</v>
      </c>
      <c r="F14" s="29" t="n">
        <v>-0.0861846955078534</v>
      </c>
      <c r="G14" s="28" t="n">
        <f aca="false">E14-F14</f>
        <v>1.77635683940025E-015</v>
      </c>
      <c r="H14" s="25" t="n">
        <f aca="false">Base_trimestral!B19</f>
        <v>13.25</v>
      </c>
      <c r="I14" s="25" t="n">
        <f aca="false">AVERAGE(Mensual!D32:D34)</f>
        <v>13.25</v>
      </c>
      <c r="J14" s="30" t="n">
        <f aca="false">H14-I14</f>
        <v>0</v>
      </c>
    </row>
    <row r="15" customFormat="false" ht="15" hidden="false" customHeight="false" outlineLevel="0" collapsed="false">
      <c r="A15" s="3" t="s">
        <v>58</v>
      </c>
      <c r="B15" s="27" t="n">
        <f aca="false">Base_trimestral!M20</f>
        <v>8.22830003657775</v>
      </c>
      <c r="C15" s="27" t="n">
        <f aca="false">100*Mensual!J37</f>
        <v>8.2283</v>
      </c>
      <c r="D15" s="28" t="n">
        <f aca="false">B15-C15</f>
        <v>3.65777506061704E-008</v>
      </c>
      <c r="E15" s="27" t="n">
        <f aca="false">Base_trimestral!P20</f>
        <v>0.309407282307572</v>
      </c>
      <c r="F15" s="29" t="n">
        <v>0.309407282307575</v>
      </c>
      <c r="G15" s="28" t="n">
        <f aca="false">E15-F15</f>
        <v>-2.72004641033163E-015</v>
      </c>
      <c r="H15" s="25" t="n">
        <f aca="false">Base_trimestral!B20</f>
        <v>13.2177419354839</v>
      </c>
      <c r="I15" s="25" t="n">
        <f aca="false">AVERAGE(Mensual!D35:D37)</f>
        <v>13.25</v>
      </c>
      <c r="J15" s="30" t="n">
        <f aca="false">H15-I15</f>
        <v>-0.0322580645161281</v>
      </c>
    </row>
    <row r="16" customFormat="false" ht="15" hidden="false" customHeight="false" outlineLevel="0" collapsed="false">
      <c r="A16" s="3" t="s">
        <v>59</v>
      </c>
      <c r="B16" s="27" t="n">
        <f aca="false">Base_trimestral!M21</f>
        <v>8.41719203588028</v>
      </c>
      <c r="C16" s="27" t="n">
        <f aca="false">100*Mensual!J40</f>
        <v>8.4172</v>
      </c>
      <c r="D16" s="28" t="n">
        <f aca="false">B16-C16</f>
        <v>-7.96411971570876E-006</v>
      </c>
      <c r="E16" s="27" t="n">
        <f aca="false">Base_trimestral!P21</f>
        <v>0.118135410798903</v>
      </c>
      <c r="F16" s="29" t="n">
        <v>0.118135410798899</v>
      </c>
      <c r="G16" s="28" t="n">
        <f aca="false">E16-F16</f>
        <v>3.59434704222394E-015</v>
      </c>
      <c r="H16" s="25" t="n">
        <f aca="false">Base_trimestral!B21</f>
        <v>12.8010752688172</v>
      </c>
      <c r="I16" s="25" t="n">
        <f aca="false">AVERAGE(Mensual!D38:D40)</f>
        <v>12.8333333333333</v>
      </c>
      <c r="J16" s="30" t="n">
        <f aca="false">H16-I16</f>
        <v>-0.0322580645161281</v>
      </c>
    </row>
    <row r="17" customFormat="false" ht="15" hidden="false" customHeight="false" outlineLevel="0" collapsed="false">
      <c r="A17" s="3" t="s">
        <v>60</v>
      </c>
      <c r="B17" s="27" t="n">
        <f aca="false">Base_trimestral!M22</f>
        <v>8.08045961209797</v>
      </c>
      <c r="C17" s="27" t="n">
        <f aca="false">100*Mensual!J43</f>
        <v>8.0805</v>
      </c>
      <c r="D17" s="28" t="n">
        <f aca="false">B17-C17</f>
        <v>-4.03879020307585E-005</v>
      </c>
      <c r="E17" s="27" t="n">
        <f aca="false">Base_trimestral!P22</f>
        <v>1.05587170922441</v>
      </c>
      <c r="F17" s="29" t="n">
        <v>1.05587170922441</v>
      </c>
      <c r="G17" s="28" t="n">
        <f aca="false">E17-F17</f>
        <v>4.66293670342566E-015</v>
      </c>
      <c r="H17" s="25" t="n">
        <f aca="false">Base_trimestral!B22</f>
        <v>11.9220430107527</v>
      </c>
      <c r="I17" s="25" t="n">
        <f aca="false">AVERAGE(Mensual!D41:D43)</f>
        <v>11.9166666666667</v>
      </c>
      <c r="J17" s="30" t="n">
        <f aca="false">H17-I17</f>
        <v>0.00537634408602195</v>
      </c>
    </row>
    <row r="18" customFormat="false" ht="15" hidden="false" customHeight="false" outlineLevel="0" collapsed="false">
      <c r="A18" s="3" t="s">
        <v>61</v>
      </c>
      <c r="B18" s="27" t="n">
        <f aca="false">Base_trimestral!M23</f>
        <v>7.60674965088418</v>
      </c>
      <c r="C18" s="27" t="n">
        <f aca="false">100*Mensual!J46</f>
        <v>7.6067</v>
      </c>
      <c r="D18" s="28" t="n">
        <f aca="false">B18-C18</f>
        <v>4.96508841800747E-005</v>
      </c>
      <c r="E18" s="27" t="n">
        <f aca="false">Base_trimestral!P23</f>
        <v>0.616172521948455</v>
      </c>
      <c r="F18" s="29" t="n">
        <v>0.616172521948457</v>
      </c>
      <c r="G18" s="28" t="n">
        <f aca="false">E18-F18</f>
        <v>0</v>
      </c>
      <c r="H18" s="25" t="n">
        <f aca="false">Base_trimestral!B23</f>
        <v>10.9220430107527</v>
      </c>
      <c r="I18" s="25" t="n">
        <f aca="false">AVERAGE(Mensual!D44:D46)</f>
        <v>10.9166666666667</v>
      </c>
      <c r="J18" s="30" t="n">
        <f aca="false">H18-I18</f>
        <v>0.00537634408602195</v>
      </c>
    </row>
    <row r="19" customFormat="false" ht="15" hidden="false" customHeight="false" outlineLevel="0" collapsed="false">
      <c r="A19" s="3" t="s">
        <v>62</v>
      </c>
      <c r="B19" s="27" t="n">
        <f aca="false">Base_trimestral!M24</f>
        <v>6.92256944304023</v>
      </c>
      <c r="C19" s="27" t="n">
        <f aca="false">100*Mensual!J49</f>
        <v>6.9226</v>
      </c>
      <c r="D19" s="28" t="n">
        <f aca="false">B19-C19</f>
        <v>-3.05569597669475E-005</v>
      </c>
      <c r="E19" s="27" t="n">
        <f aca="false">Base_trimestral!P24</f>
        <v>1.10595985498059</v>
      </c>
      <c r="F19" s="29" t="n">
        <v>1.10595985498058</v>
      </c>
      <c r="G19" s="28" t="n">
        <f aca="false">E19-F19</f>
        <v>4.2188474935756E-015</v>
      </c>
      <c r="H19" s="25" t="n">
        <f aca="false">Base_trimestral!B24</f>
        <v>9.89247311827957</v>
      </c>
      <c r="I19" s="25" t="n">
        <f aca="false">AVERAGE(Mensual!D47:D49)</f>
        <v>9.91666666666667</v>
      </c>
      <c r="J19" s="30" t="n">
        <f aca="false">H19-I19</f>
        <v>-0.0241935483870961</v>
      </c>
    </row>
    <row r="20" customFormat="false" ht="15" hidden="false" customHeight="false" outlineLevel="0" collapsed="false">
      <c r="A20" s="3" t="s">
        <v>63</v>
      </c>
      <c r="B20" s="27" t="n">
        <f aca="false">Base_trimestral!M25</f>
        <v>6.55006586370604</v>
      </c>
      <c r="C20" s="27" t="n">
        <f aca="false">100*Mensual!J52</f>
        <v>6.5501</v>
      </c>
      <c r="D20" s="28" t="n">
        <f aca="false">B20-C20</f>
        <v>-3.41362939613177E-005</v>
      </c>
      <c r="E20" s="27" t="n">
        <f aca="false">Base_trimestral!P25</f>
        <v>1.61274264871605</v>
      </c>
      <c r="F20" s="29" t="n">
        <v>1.61274264871605</v>
      </c>
      <c r="G20" s="28" t="n">
        <f aca="false">E20-F20</f>
        <v>0</v>
      </c>
      <c r="H20" s="25" t="n">
        <f aca="false">Base_trimestral!B25</f>
        <v>9.5</v>
      </c>
      <c r="I20" s="25" t="n">
        <f aca="false">AVERAGE(Mensual!D50:D52)</f>
        <v>9.5</v>
      </c>
      <c r="J20" s="30" t="n">
        <f aca="false">H20-I20</f>
        <v>0</v>
      </c>
    </row>
    <row r="21" customFormat="false" ht="15" hidden="false" customHeight="false" outlineLevel="0" collapsed="false">
      <c r="A21" s="3" t="s">
        <v>64</v>
      </c>
      <c r="B21" s="27" t="n">
        <f aca="false">Base_trimestral!M26</f>
        <v>5.97675300655969</v>
      </c>
      <c r="C21" s="27" t="n">
        <f aca="false">100*Mensual!J55</f>
        <v>5.9768</v>
      </c>
      <c r="D21" s="28" t="n">
        <f aca="false">B21-C21</f>
        <v>-4.69934403062311E-005</v>
      </c>
      <c r="E21" s="27" t="n">
        <f aca="false">Base_trimestral!P26</f>
        <v>0.207927836399624</v>
      </c>
      <c r="F21" s="29" t="n">
        <v>0.20792783639962</v>
      </c>
      <c r="G21" s="28" t="n">
        <f aca="false">E21-F21</f>
        <v>4.46864767411626E-015</v>
      </c>
      <c r="H21" s="25" t="n">
        <f aca="false">Base_trimestral!B26</f>
        <v>9.33602150537634</v>
      </c>
      <c r="I21" s="25" t="n">
        <f aca="false">AVERAGE(Mensual!D53:D55)</f>
        <v>9.33333333333333</v>
      </c>
      <c r="J21" s="30" t="n">
        <f aca="false">H21-I21</f>
        <v>0.00268817204301008</v>
      </c>
    </row>
    <row r="22" customFormat="false" ht="15" hidden="false" customHeight="false" outlineLevel="0" collapsed="false">
      <c r="A22" s="3" t="s">
        <v>65</v>
      </c>
      <c r="B22" s="27" t="n">
        <f aca="false">Base_trimestral!M27</f>
        <v>5.37534845097645</v>
      </c>
      <c r="C22" s="27" t="n">
        <f aca="false">100*Mensual!J58</f>
        <v>5.3753</v>
      </c>
      <c r="D22" s="28" t="n">
        <f aca="false">B22-C22</f>
        <v>4.8450976446901E-005</v>
      </c>
      <c r="E22" s="27" t="n">
        <f aca="false">Base_trimestral!P27</f>
        <v>0.828497395629535</v>
      </c>
      <c r="F22" s="29" t="n">
        <v>0.82849739562954</v>
      </c>
      <c r="G22" s="28" t="n">
        <f aca="false">E22-F22</f>
        <v>-5.32907051820075E-015</v>
      </c>
      <c r="H22" s="25" t="n">
        <f aca="false">Base_trimestral!B27</f>
        <v>9.25</v>
      </c>
      <c r="I22" s="25" t="n">
        <f aca="false">AVERAGE(Mensual!D56:D58)</f>
        <v>9.25</v>
      </c>
      <c r="J22" s="30" t="n">
        <f aca="false">H22-I22</f>
        <v>0</v>
      </c>
    </row>
    <row r="23" customFormat="false" ht="15" hidden="false" customHeight="false" outlineLevel="0" collapsed="false">
      <c r="A23" s="3" t="s">
        <v>66</v>
      </c>
      <c r="B23" s="27" t="n">
        <f aca="false">Base_trimestral!M28</f>
        <v>5.00417033196224</v>
      </c>
      <c r="C23" s="27" t="n">
        <f aca="false">100*Mensual!J61</f>
        <v>5.0042</v>
      </c>
      <c r="D23" s="28" t="n">
        <f aca="false">B23-C23</f>
        <v>-2.96680377633862E-005</v>
      </c>
      <c r="E23" s="27" t="n">
        <f aca="false">Base_trimestral!P28</f>
        <v>-0.418426093903945</v>
      </c>
      <c r="F23" s="29" t="n">
        <v>-0.418426093903946</v>
      </c>
      <c r="G23" s="28" t="n">
        <f aca="false">E23-F23</f>
        <v>0</v>
      </c>
      <c r="H23" s="25" t="n">
        <f aca="false">Base_trimestral!B28</f>
        <v>9.25</v>
      </c>
      <c r="I23" s="25" t="n">
        <f aca="false">AVERAGE(Mensual!D59:D61)</f>
        <v>9.25</v>
      </c>
      <c r="J23" s="30" t="n">
        <f aca="false">H23-I23</f>
        <v>0</v>
      </c>
    </row>
    <row r="24" customFormat="false" ht="15" hidden="false" customHeight="false" outlineLevel="0" collapsed="false">
      <c r="A24" s="3" t="s">
        <v>67</v>
      </c>
      <c r="B24" s="27" t="n">
        <f aca="false">Base_trimestral!M29</f>
        <v>5.01889195705891</v>
      </c>
      <c r="C24" s="27" t="n">
        <f aca="false">100*Mensual!J64</f>
        <v>5.0189</v>
      </c>
      <c r="D24" s="28" t="n">
        <f aca="false">B24-C24</f>
        <v>-8.04294109180148E-006</v>
      </c>
      <c r="E24" s="27" t="n">
        <f aca="false">Base_trimestral!P29</f>
        <v>1.92984474157263</v>
      </c>
      <c r="F24" s="29" t="n">
        <v>1.92984474157262</v>
      </c>
      <c r="G24" s="28" t="n">
        <f aca="false">E24-F24</f>
        <v>0</v>
      </c>
      <c r="H24" s="25" t="n">
        <f aca="false">Base_trimestral!B29</f>
        <v>9.90476190476191</v>
      </c>
      <c r="I24" s="25" t="n">
        <f aca="false">AVERAGE(Mensual!D62:D64)</f>
        <v>9.91666666666667</v>
      </c>
      <c r="J24" s="30" t="n">
        <f aca="false">H24-I24</f>
        <v>-0.011904761904761</v>
      </c>
    </row>
    <row r="25" customFormat="false" ht="15" hidden="false" customHeight="false" outlineLevel="0" collapsed="false">
      <c r="A25" s="3" t="s">
        <v>68</v>
      </c>
      <c r="B25" s="27" t="n">
        <f aca="false">Base_trimestral!M30</f>
        <v>4.98014022712047</v>
      </c>
      <c r="C25" s="27" t="n">
        <f aca="false">100*Mensual!J67</f>
        <v>4.9801</v>
      </c>
      <c r="D25" s="28" t="n">
        <f aca="false">B25-C25</f>
        <v>4.02271204729132E-005</v>
      </c>
      <c r="E25" s="27" t="n">
        <f aca="false">Base_trimestral!P30</f>
        <v>0.472630867558133</v>
      </c>
      <c r="F25" s="29" t="n">
        <v>0.472630867558138</v>
      </c>
      <c r="G25" s="28" t="n">
        <f aca="false">E25-F25</f>
        <v>-5.32907051820075E-015</v>
      </c>
      <c r="H25" s="25" t="n">
        <f aca="false">Base_trimestral!B30</f>
        <v>11.25</v>
      </c>
      <c r="I25" s="25" t="n">
        <f aca="false">AVERAGE(Mensual!D65:D67)</f>
        <v>11.25</v>
      </c>
      <c r="J25" s="30" t="n">
        <f aca="false">H25-I25</f>
        <v>0</v>
      </c>
    </row>
    <row r="27" customFormat="false" ht="15" hidden="false" customHeight="false" outlineLevel="0" collapsed="false">
      <c r="A27" s="3" t="s">
        <v>164</v>
      </c>
      <c r="D27" s="31" t="n">
        <f aca="false">MAX(MAX(D4:D25),-MIN(D4:D25))</f>
        <v>4.96508841800747E-005</v>
      </c>
      <c r="G27" s="31" t="n">
        <f aca="false">MAX(MAX(G4:G25),-MIN(G4:G25))</f>
        <v>5.32907051820075E-015</v>
      </c>
      <c r="J27" s="31" t="n">
        <f aca="false">MAX(MAX(J4:J25),-MIN(J4:J25))</f>
        <v>0.150537634408604</v>
      </c>
    </row>
    <row r="29" customFormat="false" ht="15" hidden="false" customHeight="false" outlineLevel="0" collapsed="false">
      <c r="A29" s="4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2026-10-17T20:19:48Z</dcterms:created>
  <dc:creator>openpyxl</dc:creator>
  <dc:description/>
  <dc:language>en-US</dc:language>
  <cp:lastModifiedBy/>
  <dcterms:modified xsi:type="dcterms:W3CDTF">2026-10-17T20:19:48Z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